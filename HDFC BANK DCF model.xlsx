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F0AB3CF-AAD2-48AF-A58C-7AB2787DBD51}" xr6:coauthVersionLast="47" xr6:coauthVersionMax="47" xr10:uidLastSave="{00000000-0000-0000-0000-000000000000}"/>
  <bookViews>
    <workbookView xWindow="-110" yWindow="-110" windowWidth="19420" windowHeight="10300" activeTab="1" xr2:uid="{FF975AEF-23A5-4C3E-AA72-1FD6EB1608FE}"/>
  </bookViews>
  <sheets>
    <sheet name="Data Sheet (2)" sheetId="3" r:id="rId1"/>
    <sheet name="DCF model" sheetId="1" r:id="rId2"/>
    <sheet name="comparable companies Analysis" sheetId="4" r:id="rId3"/>
  </sheets>
  <definedNames>
    <definedName name="Tax_rate">'DCF model'!$C$26</definedName>
    <definedName name="UPDATE" localSheetId="0">'Data Sheet (2)'!$E$1</definedName>
    <definedName name="UPD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9" i="1" l="1"/>
  <c r="C99" i="1"/>
  <c r="D99" i="1"/>
  <c r="E99" i="1"/>
  <c r="F99" i="1"/>
  <c r="E166" i="1"/>
  <c r="F166" i="1" s="1"/>
  <c r="C166" i="1"/>
  <c r="B166" i="1" s="1"/>
  <c r="A168" i="1"/>
  <c r="A167" i="1" s="1"/>
  <c r="A170" i="1"/>
  <c r="A171" i="1" s="1"/>
  <c r="E100" i="1"/>
  <c r="F100" i="1"/>
  <c r="B100" i="1"/>
  <c r="C100" i="1"/>
  <c r="D100" i="1"/>
  <c r="B98" i="1"/>
  <c r="C98" i="1"/>
  <c r="D98" i="1"/>
  <c r="E98" i="1"/>
  <c r="F98" i="1"/>
  <c r="E17" i="4"/>
  <c r="J89" i="3"/>
  <c r="I89" i="3"/>
  <c r="J32" i="4"/>
  <c r="I32" i="4"/>
  <c r="H32" i="4"/>
  <c r="F32" i="4"/>
  <c r="E32" i="4"/>
  <c r="D32" i="4"/>
  <c r="M32" i="4" s="1"/>
  <c r="B32" i="4"/>
  <c r="J24" i="4"/>
  <c r="J25" i="4"/>
  <c r="J26" i="4"/>
  <c r="J27" i="4"/>
  <c r="I25" i="4"/>
  <c r="I26" i="4"/>
  <c r="I27" i="4"/>
  <c r="I24" i="4"/>
  <c r="H24" i="4"/>
  <c r="H25" i="4"/>
  <c r="H26" i="4"/>
  <c r="H27" i="4"/>
  <c r="F24" i="4"/>
  <c r="F25" i="4"/>
  <c r="F26" i="4"/>
  <c r="F27" i="4"/>
  <c r="E24" i="4"/>
  <c r="E25" i="4"/>
  <c r="E26" i="4"/>
  <c r="E27" i="4"/>
  <c r="D24" i="4"/>
  <c r="D25" i="4"/>
  <c r="M25" i="4" s="1"/>
  <c r="D26" i="4"/>
  <c r="M26" i="4" s="1"/>
  <c r="D27" i="4"/>
  <c r="M27" i="4" s="1"/>
  <c r="B24" i="4"/>
  <c r="B25" i="4"/>
  <c r="B26" i="4"/>
  <c r="B27" i="4"/>
  <c r="B157" i="1"/>
  <c r="B155" i="1"/>
  <c r="B118" i="1"/>
  <c r="C25" i="1"/>
  <c r="B119" i="1" s="1"/>
  <c r="B114" i="1"/>
  <c r="B115" i="1" s="1"/>
  <c r="B109" i="1"/>
  <c r="B154" i="1" s="1"/>
  <c r="B108" i="1"/>
  <c r="G11" i="4"/>
  <c r="G12" i="4"/>
  <c r="G13" i="4"/>
  <c r="G14" i="4"/>
  <c r="F12" i="4"/>
  <c r="F13" i="4"/>
  <c r="F14" i="4"/>
  <c r="F11" i="4"/>
  <c r="C11" i="4"/>
  <c r="C12" i="4"/>
  <c r="C13" i="4"/>
  <c r="C14" i="4"/>
  <c r="B11" i="4"/>
  <c r="B12" i="4"/>
  <c r="B13" i="4"/>
  <c r="B14" i="4"/>
  <c r="J86" i="3"/>
  <c r="J87" i="3" s="1"/>
  <c r="K86" i="3"/>
  <c r="K87" i="3" s="1"/>
  <c r="I86" i="3"/>
  <c r="I87" i="3" s="1"/>
  <c r="B85" i="1"/>
  <c r="C84" i="1"/>
  <c r="C76" i="1"/>
  <c r="D76" i="1"/>
  <c r="E76" i="1"/>
  <c r="F76" i="1"/>
  <c r="B76" i="1"/>
  <c r="B75" i="1"/>
  <c r="C75" i="1"/>
  <c r="D75" i="1"/>
  <c r="E75" i="1"/>
  <c r="F75" i="1"/>
  <c r="B74" i="1"/>
  <c r="C74" i="1"/>
  <c r="D74" i="1"/>
  <c r="E74" i="1"/>
  <c r="F74" i="1"/>
  <c r="B73" i="1"/>
  <c r="C73" i="1"/>
  <c r="D73" i="1"/>
  <c r="E73" i="1"/>
  <c r="F73" i="1"/>
  <c r="B72" i="1"/>
  <c r="C72" i="1"/>
  <c r="D72" i="1"/>
  <c r="E72" i="1"/>
  <c r="F72" i="1"/>
  <c r="B71" i="1"/>
  <c r="C71" i="1"/>
  <c r="D71" i="1"/>
  <c r="E71" i="1"/>
  <c r="F71" i="1"/>
  <c r="B70" i="1"/>
  <c r="C70" i="1"/>
  <c r="D70" i="1"/>
  <c r="E70" i="1"/>
  <c r="F70" i="1"/>
  <c r="B68" i="1"/>
  <c r="C68" i="1"/>
  <c r="D68" i="1"/>
  <c r="E68" i="1"/>
  <c r="F68" i="1"/>
  <c r="B67" i="1"/>
  <c r="C67" i="1"/>
  <c r="D67" i="1"/>
  <c r="E67" i="1"/>
  <c r="F67" i="1"/>
  <c r="B66" i="1"/>
  <c r="C66" i="1"/>
  <c r="D66" i="1"/>
  <c r="E66" i="1"/>
  <c r="F66" i="1"/>
  <c r="B65" i="1"/>
  <c r="C65" i="1"/>
  <c r="D65" i="1"/>
  <c r="E65" i="1"/>
  <c r="F65" i="1"/>
  <c r="B57" i="1"/>
  <c r="C57" i="1"/>
  <c r="D57" i="1"/>
  <c r="E57" i="1"/>
  <c r="F57" i="1"/>
  <c r="B52" i="1"/>
  <c r="B53" i="1" s="1"/>
  <c r="C52" i="1"/>
  <c r="C53" i="1" s="1"/>
  <c r="D52" i="1"/>
  <c r="D53" i="1" s="1"/>
  <c r="E52" i="1"/>
  <c r="E53" i="1" s="1"/>
  <c r="F52" i="1"/>
  <c r="F53" i="1" s="1"/>
  <c r="B51" i="1"/>
  <c r="C51" i="1"/>
  <c r="D51" i="1"/>
  <c r="E51" i="1"/>
  <c r="F51" i="1"/>
  <c r="B46" i="1"/>
  <c r="B47" i="1" s="1"/>
  <c r="C46" i="1"/>
  <c r="C47" i="1" s="1"/>
  <c r="D46" i="1"/>
  <c r="D47" i="1" s="1"/>
  <c r="E46" i="1"/>
  <c r="E47" i="1" s="1"/>
  <c r="F46" i="1"/>
  <c r="F47" i="1" s="1"/>
  <c r="B40" i="1"/>
  <c r="B41" i="1" s="1"/>
  <c r="C40" i="1"/>
  <c r="C41" i="1" s="1"/>
  <c r="D40" i="1"/>
  <c r="D41" i="1" s="1"/>
  <c r="E40" i="1"/>
  <c r="E41" i="1" s="1"/>
  <c r="F40" i="1"/>
  <c r="F41" i="1" s="1"/>
  <c r="B36" i="1"/>
  <c r="C36" i="1"/>
  <c r="D36" i="1"/>
  <c r="E36" i="1"/>
  <c r="F36" i="1"/>
  <c r="H34" i="1"/>
  <c r="D34" i="1"/>
  <c r="E34" i="1"/>
  <c r="F34" i="1"/>
  <c r="C34" i="1"/>
  <c r="B6" i="3"/>
  <c r="E1" i="3"/>
  <c r="D38" i="4" l="1"/>
  <c r="D37" i="4"/>
  <c r="D36" i="4"/>
  <c r="G32" i="4"/>
  <c r="C32" i="4"/>
  <c r="G24" i="4"/>
  <c r="M24" i="4"/>
  <c r="G16" i="4"/>
  <c r="C24" i="4"/>
  <c r="G25" i="4"/>
  <c r="C25" i="4"/>
  <c r="C26" i="4"/>
  <c r="G26" i="4"/>
  <c r="G27" i="4"/>
  <c r="C27" i="4"/>
  <c r="B110" i="1"/>
  <c r="F16" i="4"/>
  <c r="D11" i="4"/>
  <c r="E11" i="4"/>
  <c r="D12" i="4"/>
  <c r="H12" i="4" s="1"/>
  <c r="E12" i="4"/>
  <c r="E13" i="4"/>
  <c r="D13" i="4"/>
  <c r="H13" i="4" s="1"/>
  <c r="E14" i="4"/>
  <c r="D14" i="4"/>
  <c r="H14" i="4" s="1"/>
  <c r="B87" i="1"/>
  <c r="C87" i="1" s="1"/>
  <c r="C85" i="1"/>
  <c r="D85" i="1" s="1"/>
  <c r="B86" i="1"/>
  <c r="C86" i="1" s="1"/>
  <c r="D86" i="1" s="1"/>
  <c r="E86" i="1" s="1"/>
  <c r="F86" i="1" s="1"/>
  <c r="E69" i="1"/>
  <c r="F69" i="1"/>
  <c r="C77" i="1"/>
  <c r="B77" i="1"/>
  <c r="D77" i="1"/>
  <c r="E77" i="1"/>
  <c r="F77" i="1"/>
  <c r="B69" i="1"/>
  <c r="C69" i="1"/>
  <c r="D69" i="1"/>
  <c r="B37" i="1"/>
  <c r="B38" i="1"/>
  <c r="C37" i="1"/>
  <c r="C38" i="1"/>
  <c r="D38" i="1"/>
  <c r="D37" i="1"/>
  <c r="E37" i="1"/>
  <c r="E38" i="1"/>
  <c r="F38" i="1"/>
  <c r="F37" i="1"/>
  <c r="L32" i="4" l="1"/>
  <c r="K32" i="4"/>
  <c r="F36" i="4"/>
  <c r="F38" i="4"/>
  <c r="F37" i="4"/>
  <c r="K24" i="4"/>
  <c r="L24" i="4"/>
  <c r="M30" i="4"/>
  <c r="M29" i="4"/>
  <c r="L25" i="4"/>
  <c r="K25" i="4"/>
  <c r="K26" i="4"/>
  <c r="L26" i="4"/>
  <c r="L27" i="4"/>
  <c r="K27" i="4"/>
  <c r="D16" i="4"/>
  <c r="H11" i="4"/>
  <c r="D17" i="4"/>
  <c r="E16" i="4"/>
  <c r="D87" i="1"/>
  <c r="E85" i="1"/>
  <c r="B39" i="1"/>
  <c r="B43" i="1"/>
  <c r="C39" i="1"/>
  <c r="C43" i="1"/>
  <c r="D39" i="1"/>
  <c r="D43" i="1"/>
  <c r="E39" i="1"/>
  <c r="E43" i="1"/>
  <c r="F39" i="1"/>
  <c r="F43" i="1"/>
  <c r="K30" i="4" l="1"/>
  <c r="K29" i="4"/>
  <c r="L30" i="4"/>
  <c r="L29" i="4"/>
  <c r="G17" i="4"/>
  <c r="B104" i="1"/>
  <c r="B105" i="1" s="1"/>
  <c r="F17" i="4"/>
  <c r="H17" i="4"/>
  <c r="B120" i="1" s="1"/>
  <c r="B121" i="1" s="1"/>
  <c r="H16" i="4"/>
  <c r="E87" i="1"/>
  <c r="F85" i="1"/>
  <c r="B44" i="1"/>
  <c r="B48" i="1"/>
  <c r="C44" i="1"/>
  <c r="C48" i="1"/>
  <c r="D44" i="1"/>
  <c r="D48" i="1"/>
  <c r="I88" i="3" s="1"/>
  <c r="E44" i="1"/>
  <c r="E48" i="1"/>
  <c r="J88" i="3" s="1"/>
  <c r="F44" i="1"/>
  <c r="B93" i="1" s="1"/>
  <c r="F48" i="1"/>
  <c r="K88" i="3" s="1"/>
  <c r="K89" i="3" s="1"/>
  <c r="B36" i="4" l="1" a="1"/>
  <c r="B122" i="1"/>
  <c r="C93" i="1"/>
  <c r="B82" i="1" a="1"/>
  <c r="F87" i="1"/>
  <c r="B49" i="1"/>
  <c r="B54" i="1"/>
  <c r="C49" i="1"/>
  <c r="C54" i="1"/>
  <c r="D49" i="1"/>
  <c r="D54" i="1"/>
  <c r="E54" i="1"/>
  <c r="E49" i="1"/>
  <c r="F49" i="1"/>
  <c r="F54" i="1"/>
  <c r="E38" i="4" l="1"/>
  <c r="C37" i="4"/>
  <c r="E37" i="4" s="1"/>
  <c r="G37" i="4" s="1"/>
  <c r="C36" i="4"/>
  <c r="E36" i="4" s="1"/>
  <c r="G36" i="4" s="1"/>
  <c r="C137" i="1"/>
  <c r="F137" i="1"/>
  <c r="D137" i="1"/>
  <c r="B137" i="1"/>
  <c r="E137" i="1"/>
  <c r="G137" i="1"/>
  <c r="D93" i="1"/>
  <c r="B82" i="1"/>
  <c r="B83" i="1" s="1"/>
  <c r="C82" i="1"/>
  <c r="D82" i="1"/>
  <c r="E82" i="1"/>
  <c r="F82" i="1"/>
  <c r="B58" i="1"/>
  <c r="B55" i="1"/>
  <c r="B59" i="1"/>
  <c r="B60" i="1" s="1"/>
  <c r="C58" i="1"/>
  <c r="C55" i="1"/>
  <c r="C59" i="1"/>
  <c r="C60" i="1" s="1"/>
  <c r="D58" i="1"/>
  <c r="D55" i="1"/>
  <c r="D59" i="1"/>
  <c r="D60" i="1" s="1"/>
  <c r="E58" i="1"/>
  <c r="E55" i="1"/>
  <c r="E59" i="1"/>
  <c r="E60" i="1" s="1"/>
  <c r="F58" i="1"/>
  <c r="F55" i="1"/>
  <c r="F59" i="1"/>
  <c r="F60" i="1" s="1"/>
  <c r="C38" i="4" l="1"/>
  <c r="G38" i="4"/>
  <c r="C83" i="1"/>
  <c r="B92" i="1"/>
  <c r="E93" i="1"/>
  <c r="C92" i="1" l="1"/>
  <c r="D83" i="1"/>
  <c r="B94" i="1"/>
  <c r="B95" i="1"/>
  <c r="F93" i="1"/>
  <c r="B96" i="1" l="1"/>
  <c r="B97" i="1" s="1"/>
  <c r="B135" i="1" s="1"/>
  <c r="B138" i="1" s="1"/>
  <c r="C94" i="1"/>
  <c r="C95" i="1"/>
  <c r="D92" i="1"/>
  <c r="E83" i="1"/>
  <c r="D94" i="1" l="1"/>
  <c r="D95" i="1"/>
  <c r="E92" i="1"/>
  <c r="F83" i="1"/>
  <c r="F92" i="1" s="1"/>
  <c r="C96" i="1"/>
  <c r="C97" i="1" s="1"/>
  <c r="E94" i="1" l="1"/>
  <c r="E95" i="1"/>
  <c r="F94" i="1"/>
  <c r="F95" i="1"/>
  <c r="C135" i="1"/>
  <c r="C138" i="1" s="1"/>
  <c r="D96" i="1"/>
  <c r="D97" i="1" s="1"/>
  <c r="D135" i="1" s="1"/>
  <c r="D138" i="1" s="1"/>
  <c r="F96" i="1" l="1"/>
  <c r="F97" i="1" s="1"/>
  <c r="E96" i="1"/>
  <c r="E97" i="1" s="1"/>
  <c r="E135" i="1" s="1"/>
  <c r="E138" i="1" s="1"/>
  <c r="B126" i="1" l="1"/>
  <c r="B130" i="1" s="1"/>
  <c r="F135" i="1"/>
  <c r="F138" i="1" s="1"/>
  <c r="A144" i="1" s="1"/>
  <c r="G135" i="1" l="1"/>
  <c r="G138" i="1" s="1"/>
  <c r="A147" i="1" s="1"/>
  <c r="A150" i="1" l="1"/>
  <c r="B153" i="1" s="1"/>
  <c r="B156" i="1" s="1"/>
  <c r="B158" i="1" s="1"/>
  <c r="A16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<sst xmlns="http://schemas.openxmlformats.org/spreadsheetml/2006/main" count="315" uniqueCount="255">
  <si>
    <t>COMPANY NAME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</si>
  <si>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</si>
  <si>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</si>
  <si>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</si>
  <si>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</si>
  <si>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</si>
  <si>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</si>
  <si>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</si>
  <si>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</si>
  <si>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</si>
  <si>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</si>
  <si>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</si>
  <si>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</si>
  <si>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</si>
  <si>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</si>
  <si>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</si>
  <si>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</si>
  <si>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</si>
  <si>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</si>
  <si>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</si>
  <si>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</si>
  <si>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</si>
  <si>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</si>
  <si>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</si>
  <si>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</si>
  <si>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</si>
  <si>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</si>
  <si>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</si>
  <si>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</si>
  <si>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</si>
  <si>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</si>
  <si>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</si>
  <si>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</si>
  <si>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</si>
  <si>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</si>
  <si>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</si>
  <si>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</si>
  <si>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</si>
  <si>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</si>
  <si>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</si>
  <si>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</si>
  <si>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</si>
  <si>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</si>
  <si>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</si>
  <si>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</si>
  <si>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</si>
  <si>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</si>
  <si>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</si>
  <si>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</si>
  <si>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</si>
  <si>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</si>
  <si>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</si>
  <si>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</si>
  <si>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DISCOUNTED CASH FLOW MODEL</t>
  </si>
  <si>
    <t xml:space="preserve">Company Overview </t>
  </si>
  <si>
    <t>Key Assumptions and methodology</t>
  </si>
  <si>
    <t>Financial performance ( ₹ Crores)</t>
  </si>
  <si>
    <t>Revenue projections and Growth Assumptions</t>
  </si>
  <si>
    <t>Free Cash Flow Projections (₹ Crores)</t>
  </si>
  <si>
    <t>WACC Calculation</t>
  </si>
  <si>
    <t xml:space="preserve">INCOME STATEMENT </t>
  </si>
  <si>
    <t>FY22A</t>
  </si>
  <si>
    <t>FY23A</t>
  </si>
  <si>
    <t>FY24A</t>
  </si>
  <si>
    <t>FY25A</t>
  </si>
  <si>
    <t>FY27E</t>
  </si>
  <si>
    <t>FY28E</t>
  </si>
  <si>
    <t>FY29E</t>
  </si>
  <si>
    <t>FY30E</t>
  </si>
  <si>
    <t>% Growth</t>
  </si>
  <si>
    <t>% of Revenue</t>
  </si>
  <si>
    <t>Gross Profit</t>
  </si>
  <si>
    <t>Gross Margin %</t>
  </si>
  <si>
    <t>EBITDA</t>
  </si>
  <si>
    <t>EBITDA Margin %</t>
  </si>
  <si>
    <t>Depreciation &amp; Amortisation</t>
  </si>
  <si>
    <t>EBIT</t>
  </si>
  <si>
    <t>EBIT Margin %</t>
  </si>
  <si>
    <t>Profit Before Tax (PBT)</t>
  </si>
  <si>
    <t>PBT Margin %</t>
  </si>
  <si>
    <t>Tax Expense</t>
  </si>
  <si>
    <t>Net Profit Margin %</t>
  </si>
  <si>
    <t>FY26A</t>
  </si>
  <si>
    <t>% of debt</t>
  </si>
  <si>
    <t>HDFC BANK LTD</t>
  </si>
  <si>
    <t>Operating Expenses</t>
  </si>
  <si>
    <t xml:space="preserve"> Interest</t>
  </si>
  <si>
    <t>CAGR</t>
  </si>
  <si>
    <t xml:space="preserve">Cost of Goods Sold </t>
  </si>
  <si>
    <t>% of PBT</t>
  </si>
  <si>
    <t xml:space="preserve">BALANCE SHEET </t>
  </si>
  <si>
    <t xml:space="preserve">Particulars </t>
  </si>
  <si>
    <t>Other liabilities</t>
  </si>
  <si>
    <t>Net block</t>
  </si>
  <si>
    <t>Capital Work In Progress</t>
  </si>
  <si>
    <t>Investment</t>
  </si>
  <si>
    <t>Cash and Bank</t>
  </si>
  <si>
    <t>Other Asset</t>
  </si>
  <si>
    <t>Year</t>
  </si>
  <si>
    <t>FY31E</t>
  </si>
  <si>
    <t xml:space="preserve">Parameter </t>
  </si>
  <si>
    <t>Value</t>
  </si>
  <si>
    <t>Rationable</t>
  </si>
  <si>
    <t>valuation date</t>
  </si>
  <si>
    <t>Projection period</t>
  </si>
  <si>
    <t xml:space="preserve">Terminal Growth Rate </t>
  </si>
  <si>
    <t>Risk - Free Rate (Rf)</t>
  </si>
  <si>
    <t>Equity Risk Premium (ERP)</t>
  </si>
  <si>
    <t>Tax Rate</t>
  </si>
  <si>
    <t>Revenue growth %</t>
  </si>
  <si>
    <t>Annual Growth tapering</t>
  </si>
  <si>
    <t>Revenue Growth%</t>
  </si>
  <si>
    <t>Revenue(in Crs)</t>
  </si>
  <si>
    <t>chosen Scenario</t>
  </si>
  <si>
    <t>Base year</t>
  </si>
  <si>
    <t xml:space="preserve">Best year </t>
  </si>
  <si>
    <t>Worst year</t>
  </si>
  <si>
    <t>declining PAT growth assumption</t>
  </si>
  <si>
    <t>Revenue</t>
  </si>
  <si>
    <t>Less: Depreciation</t>
  </si>
  <si>
    <t>NOPAT</t>
  </si>
  <si>
    <t>Add: Depreciation</t>
  </si>
  <si>
    <t>Less:Reinvestment</t>
  </si>
  <si>
    <t>Free Cash Flow to Firm</t>
  </si>
  <si>
    <t>% of  sales</t>
  </si>
  <si>
    <t xml:space="preserve">EBITDA </t>
  </si>
  <si>
    <t>Target Capital Structure</t>
  </si>
  <si>
    <t>Proportion of debt</t>
  </si>
  <si>
    <t>Proportion of Equity</t>
  </si>
  <si>
    <t>Current Capital Structure</t>
  </si>
  <si>
    <t>Market Cap</t>
  </si>
  <si>
    <t>Total Debt</t>
  </si>
  <si>
    <t>Debt/Equity</t>
  </si>
  <si>
    <t>Cost of debt</t>
  </si>
  <si>
    <t>Pre-Tax Cost of Debt</t>
  </si>
  <si>
    <t>Tax Ratio</t>
  </si>
  <si>
    <t>After -Tax Cost of Debt</t>
  </si>
  <si>
    <t>Cost of equity</t>
  </si>
  <si>
    <t>Risk free  Rate</t>
  </si>
  <si>
    <t>Equity Risk premium</t>
  </si>
  <si>
    <t>Levered Equity Beta</t>
  </si>
  <si>
    <t>WACC</t>
  </si>
  <si>
    <t>S.No.</t>
  </si>
  <si>
    <t>Company</t>
  </si>
  <si>
    <t>P/E</t>
  </si>
  <si>
    <t>EV / EBITDA</t>
  </si>
  <si>
    <t>HDFC Bank</t>
  </si>
  <si>
    <r>
      <t xml:space="preserve">CMP </t>
    </r>
    <r>
      <rPr>
        <b/>
        <sz val="14"/>
        <color rgb="FF737373"/>
        <rFont val="Aptos Narrow"/>
        <family val="2"/>
        <scheme val="minor"/>
      </rPr>
      <t>Rs.</t>
    </r>
  </si>
  <si>
    <r>
      <t xml:space="preserve">Mar Cap </t>
    </r>
    <r>
      <rPr>
        <b/>
        <sz val="14"/>
        <color rgb="FF737373"/>
        <rFont val="Aptos Narrow"/>
        <family val="2"/>
        <scheme val="minor"/>
      </rPr>
      <t>Rs.Cr.</t>
    </r>
  </si>
  <si>
    <r>
      <t xml:space="preserve">Sales </t>
    </r>
    <r>
      <rPr>
        <b/>
        <sz val="14"/>
        <color rgb="FF737373"/>
        <rFont val="Aptos Narrow"/>
        <family val="2"/>
        <scheme val="minor"/>
      </rPr>
      <t>Rs.Cr.</t>
    </r>
  </si>
  <si>
    <r>
      <t xml:space="preserve">EPS 12M </t>
    </r>
    <r>
      <rPr>
        <b/>
        <sz val="14"/>
        <color rgb="FF737373"/>
        <rFont val="Aptos Narrow"/>
        <family val="2"/>
        <scheme val="minor"/>
      </rPr>
      <t>Rs.</t>
    </r>
  </si>
  <si>
    <r>
      <t xml:space="preserve">Debt </t>
    </r>
    <r>
      <rPr>
        <b/>
        <sz val="14"/>
        <color rgb="FF737373"/>
        <rFont val="Aptos Narrow"/>
        <family val="2"/>
        <scheme val="minor"/>
      </rPr>
      <t>Rs.Cr.</t>
    </r>
  </si>
  <si>
    <r>
      <t xml:space="preserve">EV </t>
    </r>
    <r>
      <rPr>
        <b/>
        <sz val="14"/>
        <color rgb="FF737373"/>
        <rFont val="Aptos Narrow"/>
        <family val="2"/>
        <scheme val="minor"/>
      </rPr>
      <t>Rs.Cr.</t>
    </r>
  </si>
  <si>
    <r>
      <t xml:space="preserve">IV </t>
    </r>
    <r>
      <rPr>
        <b/>
        <sz val="14"/>
        <color rgb="FF737373"/>
        <rFont val="Aptos Narrow"/>
        <family val="2"/>
        <scheme val="minor"/>
      </rPr>
      <t>Rs.</t>
    </r>
  </si>
  <si>
    <t>beta</t>
  </si>
  <si>
    <t>ICICI Bank</t>
  </si>
  <si>
    <t>Kotak Mah. Bank</t>
  </si>
  <si>
    <t>Axis Bank</t>
  </si>
  <si>
    <t>IDBI Bank</t>
  </si>
  <si>
    <t>INDUSTRY DATA</t>
  </si>
  <si>
    <t>Equity value</t>
  </si>
  <si>
    <t>Tax rate %</t>
  </si>
  <si>
    <t>Levered beta</t>
  </si>
  <si>
    <t>Unlevered beta</t>
  </si>
  <si>
    <t>Debt/Capital</t>
  </si>
  <si>
    <t>Average</t>
  </si>
  <si>
    <t>Median</t>
  </si>
  <si>
    <t>10 year Indian government Bond Yield</t>
  </si>
  <si>
    <t>Expected return over  risk free  rate of equity investors</t>
  </si>
  <si>
    <t>Effective tax  rate base on historical data</t>
  </si>
  <si>
    <t>Terminal Value Calculation</t>
  </si>
  <si>
    <t>Terminal Year FCF (FY31)</t>
  </si>
  <si>
    <t xml:space="preserve">Conservative long term considering India's GDP </t>
  </si>
  <si>
    <t>Terminal Growth Rate (g)</t>
  </si>
  <si>
    <t>Terminal Value=FCF *(1+g) / (WACC-g)</t>
  </si>
  <si>
    <t>Terminal Value</t>
  </si>
  <si>
    <t>Present Value Calculation</t>
  </si>
  <si>
    <t>FCF (  ₹ Cr)</t>
  </si>
  <si>
    <t xml:space="preserve">Discount factor </t>
  </si>
  <si>
    <t>PV of FCF (₹ Cr)</t>
  </si>
  <si>
    <t>DCF Valuation Summary</t>
  </si>
  <si>
    <t>Sum of PV of FCF (FY27-31)</t>
  </si>
  <si>
    <t>PV Terminal value</t>
  </si>
  <si>
    <t>Enterprise value</t>
  </si>
  <si>
    <t>less: Net debt</t>
  </si>
  <si>
    <t>add: Cash and Investment</t>
  </si>
  <si>
    <t>Cash Equivalents</t>
  </si>
  <si>
    <t xml:space="preserve">Shares outstanding </t>
  </si>
  <si>
    <t>Fair value  per Share</t>
  </si>
  <si>
    <t>Current market price</t>
  </si>
  <si>
    <t xml:space="preserve">721.20	</t>
  </si>
  <si>
    <t>Upside/downside</t>
  </si>
  <si>
    <t>Sensitivity Analysis</t>
  </si>
  <si>
    <t>Terminal Growth/WACC</t>
  </si>
  <si>
    <t>Key Risk&amp; Consideration</t>
  </si>
  <si>
    <t>Upside Risks:</t>
  </si>
  <si>
    <r>
      <t>Credit Growth:</t>
    </r>
    <r>
      <rPr>
        <sz val="11"/>
        <color theme="1"/>
        <rFont val="Aptos Narrow"/>
        <family val="2"/>
        <scheme val="minor"/>
      </rPr>
      <t xml:space="preserve"> Strong growth in advances can increase interest income and support higher profitability.</t>
    </r>
  </si>
  <si>
    <r>
      <t>Deposit Growth:</t>
    </r>
    <r>
      <rPr>
        <sz val="11"/>
        <color theme="1"/>
        <rFont val="Aptos Narrow"/>
        <family val="2"/>
        <scheme val="minor"/>
      </rPr>
      <t xml:space="preserve"> Continued deposit growth provides HDFC Bank with a stable funding base and supports future loan growth.</t>
    </r>
  </si>
  <si>
    <r>
      <t>Margin Expansion:</t>
    </r>
    <r>
      <rPr>
        <sz val="11"/>
        <color theme="1"/>
        <rFont val="Aptos Narrow"/>
        <family val="2"/>
        <scheme val="minor"/>
      </rPr>
      <t xml:space="preserve"> Improvement in Net Interest Margin (NIM) could increase Net Interest Income and accelerate earnings growth.</t>
    </r>
  </si>
  <si>
    <r>
      <t>Digital Growth:</t>
    </r>
    <r>
      <rPr>
        <sz val="11"/>
        <color theme="1"/>
        <rFont val="Aptos Narrow"/>
        <family val="2"/>
        <scheme val="minor"/>
      </rPr>
      <t xml:space="preserve"> Increasing adoption of digital banking and technology-led services can improve customer acquisition and operating efficiency.</t>
    </r>
  </si>
  <si>
    <t>Downside Risks:</t>
  </si>
  <si>
    <r>
      <t>Asset Quality:</t>
    </r>
    <r>
      <rPr>
        <sz val="11"/>
        <color theme="1"/>
        <rFont val="Aptos Narrow"/>
        <family val="2"/>
        <scheme val="minor"/>
      </rPr>
      <t xml:space="preserve"> Deterioration in asset quality or higher NPAs could increase provisions and reduce profitability.</t>
    </r>
  </si>
  <si>
    <r>
      <t>NIM Pressure:</t>
    </r>
    <r>
      <rPr>
        <sz val="11"/>
        <color theme="1"/>
        <rFont val="Aptos Narrow"/>
        <family val="2"/>
        <scheme val="minor"/>
      </rPr>
      <t xml:space="preserve"> Rising funding costs or lower lending yields could compress NIM and negatively affect earnings.</t>
    </r>
  </si>
  <si>
    <r>
      <t>Competition:</t>
    </r>
    <r>
      <rPr>
        <sz val="11"/>
        <color theme="1"/>
        <rFont val="Aptos Narrow"/>
        <family val="2"/>
        <scheme val="minor"/>
      </rPr>
      <t xml:space="preserve"> Increasing competition from ICICI Bank, Axis Bank, Kotak Mahindra Bank and fintech companies could pressure margins and growth.</t>
    </r>
  </si>
  <si>
    <r>
      <t>Regulatory Risk:</t>
    </r>
    <r>
      <rPr>
        <sz val="11"/>
        <color theme="1"/>
        <rFont val="Aptos Narrow"/>
        <family val="2"/>
        <scheme val="minor"/>
      </rPr>
      <t xml:space="preserve"> Changes in RBI regulations, capital requirements and provisioning norms could affect profitability.</t>
    </r>
  </si>
  <si>
    <r>
      <t>Economic Slowdown:</t>
    </r>
    <r>
      <rPr>
        <sz val="11"/>
        <color theme="1"/>
        <rFont val="Aptos Narrow"/>
        <family val="2"/>
        <scheme val="minor"/>
      </rPr>
      <t xml:space="preserve"> A slowdown in economic activity could reduce credit demand and increase loan defaults.</t>
    </r>
  </si>
  <si>
    <t>Conclusion &amp; Recommendation</t>
  </si>
  <si>
    <t>Based on our DCF analysis, HDFC Bank's intrinsic value is estimated at ₹747.71 per share, compared with the current market price of ₹721.20 per share, indicating an upside of approximately 3.7%.</t>
  </si>
  <si>
    <t>Key Findings:</t>
  </si>
  <si>
    <t>Investment Recommendation: HOLD</t>
  </si>
  <si>
    <t>HDFC Bank remains a fundamentally strong bank with a robust deposit franchise, diversified loan portfolio and attractive long-term growth prospects. However, with the estimated intrinsic value of ₹747.71 only modestly above the current market price of ₹721.20, the margin of safety is limited. Existing investors may continue to hold, while new investors may wait for a more attractive entry price.</t>
  </si>
  <si>
    <r>
      <t xml:space="preserve">HDFC Bank reported </t>
    </r>
    <r>
      <rPr>
        <sz val="11"/>
        <color theme="1"/>
        <rFont val="Aptos Narrow"/>
        <family val="2"/>
        <scheme val="minor"/>
      </rPr>
      <t>FY26 net profit of approximately ₹76,026 Cr, demonstrating strong profitability.</t>
    </r>
  </si>
  <si>
    <r>
      <t xml:space="preserve">PAT growth is projected to moderate from </t>
    </r>
    <r>
      <rPr>
        <sz val="11"/>
        <color theme="1"/>
        <rFont val="Aptos Narrow"/>
        <family val="2"/>
        <scheme val="minor"/>
      </rPr>
      <t>12% in FY27 to 8% by FY31.</t>
    </r>
  </si>
  <si>
    <r>
      <t xml:space="preserve">The bank has a healthy </t>
    </r>
    <r>
      <rPr>
        <sz val="11"/>
        <color theme="1"/>
        <rFont val="Aptos Narrow"/>
        <family val="2"/>
        <scheme val="minor"/>
      </rPr>
      <t>ROE of 13.64%.</t>
    </r>
  </si>
  <si>
    <r>
      <t xml:space="preserve">HDFC Bank trades at approximately </t>
    </r>
    <r>
      <rPr>
        <sz val="11"/>
        <color theme="1"/>
        <rFont val="Aptos Narrow"/>
        <family val="2"/>
        <scheme val="minor"/>
      </rPr>
      <t>14.07× P/E, which is relatively attractive compared with some major private-sector banking peers.</t>
    </r>
  </si>
  <si>
    <r>
      <t xml:space="preserve">The DCF valuation indicates </t>
    </r>
    <r>
      <rPr>
        <sz val="11"/>
        <color theme="1"/>
        <rFont val="Aptos Narrow"/>
        <family val="2"/>
        <scheme val="minor"/>
      </rPr>
      <t>limited upside and a relatively small margin of safety.</t>
    </r>
  </si>
  <si>
    <t>COMPAREABLE COMPANIES ANALYSIS</t>
  </si>
  <si>
    <t>Company name</t>
  </si>
  <si>
    <t>price(per share)</t>
  </si>
  <si>
    <t>Market Data</t>
  </si>
  <si>
    <t>Debt</t>
  </si>
  <si>
    <t>Cash &amp; Equivalents</t>
  </si>
  <si>
    <t xml:space="preserve">Shares </t>
  </si>
  <si>
    <t>Market cap(₹ Cr)</t>
  </si>
  <si>
    <t>EV (₹cr)</t>
  </si>
  <si>
    <t>Sales (₹cr)</t>
  </si>
  <si>
    <t>Financial Data</t>
  </si>
  <si>
    <t>EBITDA(₹ Cr)</t>
  </si>
  <si>
    <t>Earnings (₹ Cr)</t>
  </si>
  <si>
    <t>NP(Cr)</t>
  </si>
  <si>
    <t>Valuation</t>
  </si>
  <si>
    <t>EV/Sales (X)</t>
  </si>
  <si>
    <t>EV / EBITDA(X)</t>
  </si>
  <si>
    <t>P/E(X)</t>
  </si>
  <si>
    <t>HDFC BANK</t>
  </si>
  <si>
    <t>Metric</t>
  </si>
  <si>
    <t>Comps</t>
  </si>
  <si>
    <t>EV</t>
  </si>
  <si>
    <t>Net Debt</t>
  </si>
  <si>
    <t>Equity Value</t>
  </si>
  <si>
    <t>Shares</t>
  </si>
  <si>
    <t>Shares Price</t>
  </si>
  <si>
    <t>EV/Sales</t>
  </si>
  <si>
    <t>EV/EBITDA</t>
  </si>
  <si>
    <t>P/E Ratio</t>
  </si>
  <si>
    <t>NOPAT=EBIT*(1-Tax Rate)</t>
  </si>
  <si>
    <r>
      <t>HDFC Bank Limited (HDFC Bank)</t>
    </r>
    <r>
      <rPr>
        <sz val="11"/>
        <color theme="1"/>
        <rFont val="Aptos Narrow"/>
        <family val="2"/>
        <scheme val="minor"/>
      </rPr>
      <t xml:space="preserve"> </t>
    </r>
  </si>
  <si>
    <t>Is one of India’s leading private sector banks, providing a wide range of banking and financial services to individuals, businesses, and large corporates across India.</t>
  </si>
  <si>
    <r>
      <t>Key Products &amp; Services:</t>
    </r>
    <r>
      <rPr>
        <sz val="11"/>
        <color theme="1"/>
        <rFont val="Aptos Narrow"/>
        <family val="2"/>
        <scheme val="minor"/>
      </rPr>
      <t xml:space="preserve"> </t>
    </r>
  </si>
  <si>
    <r>
      <t>Market Position:</t>
    </r>
    <r>
      <rPr>
        <sz val="11"/>
        <color theme="1"/>
        <rFont val="Aptos Narrow"/>
        <family val="2"/>
        <scheme val="minor"/>
      </rPr>
      <t xml:space="preserve"> </t>
    </r>
  </si>
  <si>
    <t xml:space="preserve">Savings Accounts | Current Accounts | Credit Cards | Personal Loans | Home Loans | Auto Loans | Fixed Deposits | </t>
  </si>
  <si>
    <t>Business Loans | Insurance &amp; Mutual Fund Distribution | Wealth Management | Digital Banking</t>
  </si>
  <si>
    <t>One of India's leading private sector banks | Extensive branch and ATM network |</t>
  </si>
  <si>
    <t xml:space="preserve"> Strong presence across urban, semi-urban and rural India | Wide retail and corporate customer base | Strong digital banking capabilities</t>
  </si>
  <si>
    <t>COMPANIES 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</si>
</sst>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0.0%"/>
    <numFmt numFmtId="167" formatCode=";;;"/>
    <numFmt numFmtId="168" formatCode="0.0000"/>
    <numFmt numFmtId="169" formatCode="[$₹-445]\ #,##0.0"/>
    <numFmt numFmtId="170" formatCode="[$₹-439]#,##0.00"/>
    <numFmt numFmtId="171" formatCode="[$₹-449]\ #,##0.00;[Red][$₹-449]\ #,##0.00"/>
    <numFmt numFmtId="172" formatCode="[$₹-44B]#,##0.00"/>
    <numFmt numFmtId="173" formatCode="_-[$₹-44A]* #,##0.00_-;\-[$₹-44A]* #,##0.00_-;_-[$₹-44A]* &quot;-&quot;??_-;_-@_-"/>
    <numFmt numFmtId="174" formatCode="0.0\x"/>
  </numFmts>
  <fonts count="4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Calibri"/>
      <family val="2"/>
    </font>
    <font>
      <sz val="11"/>
      <name val="Aptos Narrow"/>
      <family val="2"/>
      <scheme val="minor"/>
    </font>
    <font>
      <b/>
      <sz val="20"/>
      <color theme="3" tint="0.499984740745262"/>
      <name val="Calibri"/>
      <family val="2"/>
    </font>
    <font>
      <b/>
      <sz val="18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6"/>
      <color rgb="FF0070C0"/>
      <name val="Aptos Narrow"/>
      <family val="2"/>
      <scheme val="minor"/>
    </font>
    <font>
      <b/>
      <sz val="8"/>
      <color rgb="FF000000"/>
      <name val="Cambria"/>
      <family val="1"/>
    </font>
    <font>
      <sz val="8"/>
      <color rgb="FF000000"/>
      <name val="Cambria"/>
      <family val="1"/>
    </font>
    <font>
      <b/>
      <sz val="9"/>
      <color rgb="FF000000"/>
      <name val="Cambria"/>
      <family val="1"/>
    </font>
    <font>
      <sz val="9"/>
      <color rgb="FF000000"/>
      <name val="Cambria"/>
      <family val="1"/>
    </font>
    <font>
      <sz val="9"/>
      <color theme="1"/>
      <name val="Aptos Narrow"/>
      <family val="2"/>
      <scheme val="minor"/>
    </font>
    <font>
      <sz val="10"/>
      <color rgb="FF000000"/>
      <name val="Cambria"/>
      <family val="1"/>
    </font>
    <font>
      <b/>
      <sz val="14"/>
      <color theme="0"/>
      <name val="Aptos Narrow"/>
      <family val="2"/>
      <scheme val="minor"/>
    </font>
    <font>
      <b/>
      <sz val="11"/>
      <color rgb="FF000000"/>
      <name val="Cambria"/>
      <family val="1"/>
    </font>
    <font>
      <b/>
      <sz val="9"/>
      <color theme="1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737373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rgb="FF0070C0"/>
      <name val="Arial Black"/>
      <family val="2"/>
    </font>
    <font>
      <sz val="14"/>
      <color theme="1"/>
      <name val="Arial Black"/>
      <family val="2"/>
    </font>
    <font>
      <b/>
      <sz val="16"/>
      <color theme="1"/>
      <name val="Aptos Narrow"/>
      <family val="2"/>
      <scheme val="minor"/>
    </font>
    <font>
      <b/>
      <sz val="16"/>
      <color theme="0"/>
      <name val="Aptos Display"/>
      <family val="2"/>
      <scheme val="major"/>
    </font>
    <font>
      <b/>
      <sz val="16"/>
      <color theme="0"/>
      <name val="Aptos Narrow"/>
      <family val="2"/>
      <scheme val="minor"/>
    </font>
    <font>
      <sz val="10"/>
      <color rgb="FF22222F"/>
      <name val="Arial"/>
      <family val="2"/>
    </font>
    <font>
      <sz val="10"/>
      <color rgb="FF22222F"/>
      <name val="Arial"/>
      <family val="2"/>
    </font>
    <font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6"/>
      <color rgb="FF0070C0"/>
      <name val="Arial Black"/>
      <family val="2"/>
    </font>
    <font>
      <sz val="11"/>
      <color rgb="FF22222F"/>
      <name val="Arial"/>
      <family val="2"/>
    </font>
    <font>
      <sz val="11"/>
      <color rgb="FF22222F"/>
      <name val="Arial"/>
      <family val="2"/>
    </font>
    <font>
      <b/>
      <sz val="11"/>
      <color theme="0"/>
      <name val="Arial Black"/>
      <family val="2"/>
    </font>
  </fonts>
  <fills count="19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4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/>
    <xf numFmtId="0" fontId="1" fillId="9" borderId="7" applyNumberFormat="0" applyFont="0" applyAlignment="0" applyProtection="0"/>
  </cellStyleXfs>
  <cellXfs count="165">
    <xf numFmtId="0" fontId="0" fillId="0" borderId="0" xfId="0"/>
    <xf numFmtId="164" fontId="3" fillId="0" borderId="0" xfId="3" applyFont="1" applyBorder="1"/>
    <xf numFmtId="164" fontId="0" fillId="0" borderId="0" xfId="3" applyFont="1" applyBorder="1"/>
    <xf numFmtId="165" fontId="2" fillId="3" borderId="0" xfId="3" applyNumberFormat="1" applyFont="1" applyFill="1" applyBorder="1"/>
    <xf numFmtId="165" fontId="2" fillId="3" borderId="0" xfId="0" applyNumberFormat="1" applyFont="1" applyFill="1" applyAlignment="1">
      <alignment horizontal="center"/>
    </xf>
    <xf numFmtId="165" fontId="6" fillId="0" borderId="0" xfId="3" applyNumberFormat="1" applyFont="1" applyFill="1" applyBorder="1"/>
    <xf numFmtId="164" fontId="1" fillId="0" borderId="0" xfId="3" applyFont="1" applyBorder="1"/>
    <xf numFmtId="43" fontId="0" fillId="0" borderId="0" xfId="3" applyNumberFormat="1" applyFont="1" applyBorder="1"/>
    <xf numFmtId="0" fontId="3" fillId="0" borderId="0" xfId="0" applyFont="1"/>
    <xf numFmtId="0" fontId="0" fillId="0" borderId="0" xfId="0" applyAlignment="1">
      <alignment horizontal="left"/>
    </xf>
    <xf numFmtId="0" fontId="8" fillId="4" borderId="0" xfId="0" applyFont="1" applyFill="1"/>
    <xf numFmtId="0" fontId="9" fillId="4" borderId="0" xfId="0" applyFont="1" applyFill="1"/>
    <xf numFmtId="0" fontId="10" fillId="0" borderId="0" xfId="0" applyFont="1"/>
    <xf numFmtId="0" fontId="11" fillId="6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13" fillId="6" borderId="1" xfId="0" applyFont="1" applyFill="1" applyBorder="1" applyAlignment="1">
      <alignment vertical="center" wrapText="1"/>
    </xf>
    <xf numFmtId="0" fontId="14" fillId="5" borderId="1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vertical="center" wrapText="1"/>
    </xf>
    <xf numFmtId="0" fontId="13" fillId="6" borderId="4" xfId="0" applyFont="1" applyFill="1" applyBorder="1" applyAlignment="1">
      <alignment vertical="center" wrapText="1"/>
    </xf>
    <xf numFmtId="0" fontId="17" fillId="4" borderId="0" xfId="0" applyFont="1" applyFill="1"/>
    <xf numFmtId="0" fontId="13" fillId="5" borderId="1" xfId="0" applyFont="1" applyFill="1" applyBorder="1" applyAlignment="1">
      <alignment vertical="center" wrapText="1"/>
    </xf>
    <xf numFmtId="0" fontId="18" fillId="6" borderId="1" xfId="0" applyFont="1" applyFill="1" applyBorder="1" applyAlignment="1">
      <alignment vertical="center" wrapText="1"/>
    </xf>
    <xf numFmtId="0" fontId="18" fillId="5" borderId="1" xfId="0" applyFont="1" applyFill="1" applyBorder="1" applyAlignment="1">
      <alignment vertical="center" wrapText="1"/>
    </xf>
    <xf numFmtId="0" fontId="18" fillId="6" borderId="2" xfId="0" applyFont="1" applyFill="1" applyBorder="1" applyAlignment="1">
      <alignment vertical="center" wrapText="1"/>
    </xf>
    <xf numFmtId="0" fontId="16" fillId="5" borderId="2" xfId="0" applyFont="1" applyFill="1" applyBorder="1" applyAlignment="1">
      <alignment vertical="center" wrapText="1"/>
    </xf>
    <xf numFmtId="9" fontId="0" fillId="0" borderId="0" xfId="1" applyFont="1"/>
    <xf numFmtId="0" fontId="13" fillId="5" borderId="1" xfId="0" applyFont="1" applyFill="1" applyBorder="1" applyAlignment="1">
      <alignment horizontal="right" vertical="center" wrapText="1"/>
    </xf>
    <xf numFmtId="0" fontId="18" fillId="6" borderId="4" xfId="0" applyFont="1" applyFill="1" applyBorder="1" applyAlignment="1">
      <alignment vertical="center" wrapText="1"/>
    </xf>
    <xf numFmtId="0" fontId="14" fillId="5" borderId="5" xfId="0" applyFont="1" applyFill="1" applyBorder="1" applyAlignment="1">
      <alignment vertical="center" wrapText="1"/>
    </xf>
    <xf numFmtId="0" fontId="19" fillId="0" borderId="5" xfId="0" applyFont="1" applyBorder="1" applyAlignment="1">
      <alignment horizontal="right" vertical="center"/>
    </xf>
    <xf numFmtId="0" fontId="15" fillId="0" borderId="5" xfId="0" applyFont="1" applyBorder="1" applyAlignment="1">
      <alignment horizontal="right" vertical="center"/>
    </xf>
    <xf numFmtId="0" fontId="14" fillId="5" borderId="3" xfId="0" applyFont="1" applyFill="1" applyBorder="1" applyAlignment="1">
      <alignment horizontal="right" vertical="center" wrapText="1"/>
    </xf>
    <xf numFmtId="10" fontId="12" fillId="5" borderId="1" xfId="1" applyNumberFormat="1" applyFont="1" applyFill="1" applyBorder="1" applyAlignment="1">
      <alignment vertical="center" wrapText="1"/>
    </xf>
    <xf numFmtId="10" fontId="14" fillId="5" borderId="1" xfId="1" applyNumberFormat="1" applyFont="1" applyFill="1" applyBorder="1" applyAlignment="1">
      <alignment vertical="center" wrapText="1"/>
    </xf>
    <xf numFmtId="10" fontId="14" fillId="5" borderId="5" xfId="1" applyNumberFormat="1" applyFont="1" applyFill="1" applyBorder="1" applyAlignment="1">
      <alignment vertical="center" wrapText="1"/>
    </xf>
    <xf numFmtId="10" fontId="15" fillId="0" borderId="5" xfId="1" applyNumberFormat="1" applyFont="1" applyBorder="1" applyAlignment="1">
      <alignment horizontal="right" vertical="center"/>
    </xf>
    <xf numFmtId="0" fontId="0" fillId="0" borderId="5" xfId="0" applyBorder="1"/>
    <xf numFmtId="0" fontId="16" fillId="5" borderId="4" xfId="0" applyFont="1" applyFill="1" applyBorder="1" applyAlignment="1">
      <alignment vertical="center" wrapText="1"/>
    </xf>
    <xf numFmtId="10" fontId="12" fillId="5" borderId="4" xfId="1" applyNumberFormat="1" applyFont="1" applyFill="1" applyBorder="1" applyAlignment="1">
      <alignment vertical="center" wrapText="1"/>
    </xf>
    <xf numFmtId="0" fontId="10" fillId="7" borderId="5" xfId="0" applyFont="1" applyFill="1" applyBorder="1"/>
    <xf numFmtId="0" fontId="17" fillId="4" borderId="5" xfId="0" applyFont="1" applyFill="1" applyBorder="1"/>
    <xf numFmtId="0" fontId="3" fillId="0" borderId="5" xfId="0" applyFont="1" applyBorder="1"/>
    <xf numFmtId="0" fontId="0" fillId="0" borderId="6" xfId="0" applyBorder="1"/>
    <xf numFmtId="0" fontId="6" fillId="0" borderId="0" xfId="0" applyFont="1"/>
    <xf numFmtId="0" fontId="6" fillId="0" borderId="0" xfId="5" applyFont="1" applyAlignment="1"/>
    <xf numFmtId="0" fontId="0" fillId="0" borderId="5" xfId="0" applyBorder="1" applyAlignment="1">
      <alignment horizontal="left"/>
    </xf>
    <xf numFmtId="9" fontId="0" fillId="0" borderId="0" xfId="0" applyNumberFormat="1"/>
    <xf numFmtId="10" fontId="0" fillId="0" borderId="5" xfId="0" applyNumberFormat="1" applyBorder="1"/>
    <xf numFmtId="167" fontId="0" fillId="0" borderId="5" xfId="0" applyNumberFormat="1" applyBorder="1"/>
    <xf numFmtId="0" fontId="0" fillId="10" borderId="5" xfId="0" applyFill="1" applyBorder="1" applyAlignment="1">
      <alignment horizontal="right"/>
    </xf>
    <xf numFmtId="9" fontId="0" fillId="0" borderId="5" xfId="1" applyFont="1" applyBorder="1"/>
    <xf numFmtId="0" fontId="20" fillId="12" borderId="5" xfId="0" applyFont="1" applyFill="1" applyBorder="1"/>
    <xf numFmtId="10" fontId="0" fillId="0" borderId="0" xfId="0" applyNumberFormat="1"/>
    <xf numFmtId="168" fontId="0" fillId="0" borderId="0" xfId="0" applyNumberFormat="1"/>
    <xf numFmtId="2" fontId="0" fillId="0" borderId="0" xfId="0" applyNumberFormat="1"/>
    <xf numFmtId="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9" fontId="0" fillId="0" borderId="0" xfId="1" applyFont="1" applyBorder="1"/>
    <xf numFmtId="0" fontId="3" fillId="11" borderId="0" xfId="0" applyFont="1" applyFill="1"/>
    <xf numFmtId="0" fontId="0" fillId="4" borderId="0" xfId="0" applyFill="1"/>
    <xf numFmtId="0" fontId="23" fillId="7" borderId="0" xfId="0" applyFont="1" applyFill="1" applyAlignment="1">
      <alignment vertical="center"/>
    </xf>
    <xf numFmtId="0" fontId="23" fillId="8" borderId="5" xfId="0" applyFont="1" applyFill="1" applyBorder="1" applyAlignment="1">
      <alignment horizontal="center" vertical="center"/>
    </xf>
    <xf numFmtId="0" fontId="23" fillId="8" borderId="5" xfId="0" applyFont="1" applyFill="1" applyBorder="1" applyAlignment="1">
      <alignment vertical="center"/>
    </xf>
    <xf numFmtId="0" fontId="26" fillId="0" borderId="0" xfId="0" applyFont="1"/>
    <xf numFmtId="0" fontId="25" fillId="0" borderId="5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5" fillId="5" borderId="5" xfId="0" applyFont="1" applyFill="1" applyBorder="1" applyAlignment="1">
      <alignment horizontal="center" vertical="center"/>
    </xf>
    <xf numFmtId="0" fontId="25" fillId="5" borderId="5" xfId="5" applyFont="1" applyFill="1" applyBorder="1" applyAlignment="1">
      <alignment horizontal="center" vertical="center"/>
    </xf>
    <xf numFmtId="0" fontId="25" fillId="5" borderId="5" xfId="0" applyFont="1" applyFill="1" applyBorder="1" applyAlignment="1">
      <alignment horizontal="center" vertical="center" wrapText="1"/>
    </xf>
    <xf numFmtId="0" fontId="25" fillId="13" borderId="5" xfId="0" applyFont="1" applyFill="1" applyBorder="1" applyAlignment="1">
      <alignment horizontal="center" vertical="center"/>
    </xf>
    <xf numFmtId="0" fontId="25" fillId="13" borderId="5" xfId="5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 wrapText="1"/>
    </xf>
    <xf numFmtId="0" fontId="0" fillId="8" borderId="0" xfId="0" applyFill="1"/>
    <xf numFmtId="0" fontId="23" fillId="8" borderId="5" xfId="0" applyFont="1" applyFill="1" applyBorder="1"/>
    <xf numFmtId="10" fontId="0" fillId="0" borderId="5" xfId="1" applyNumberFormat="1" applyFont="1" applyBorder="1"/>
    <xf numFmtId="2" fontId="0" fillId="0" borderId="5" xfId="0" applyNumberFormat="1" applyBorder="1"/>
    <xf numFmtId="0" fontId="0" fillId="10" borderId="5" xfId="0" applyFill="1" applyBorder="1"/>
    <xf numFmtId="2" fontId="0" fillId="10" borderId="5" xfId="0" applyNumberFormat="1" applyFill="1" applyBorder="1"/>
    <xf numFmtId="9" fontId="0" fillId="10" borderId="5" xfId="1" applyFont="1" applyFill="1" applyBorder="1"/>
    <xf numFmtId="0" fontId="3" fillId="9" borderId="7" xfId="6" applyFont="1"/>
    <xf numFmtId="0" fontId="0" fillId="9" borderId="7" xfId="6" applyFont="1"/>
    <xf numFmtId="0" fontId="22" fillId="9" borderId="7" xfId="6" applyFont="1"/>
    <xf numFmtId="9" fontId="0" fillId="9" borderId="7" xfId="6" applyNumberFormat="1" applyFont="1"/>
    <xf numFmtId="2" fontId="0" fillId="9" borderId="7" xfId="6" applyNumberFormat="1" applyFont="1"/>
    <xf numFmtId="9" fontId="0" fillId="9" borderId="7" xfId="1" applyFont="1" applyFill="1" applyBorder="1"/>
    <xf numFmtId="166" fontId="0" fillId="9" borderId="7" xfId="6" applyNumberFormat="1" applyFont="1"/>
    <xf numFmtId="10" fontId="0" fillId="9" borderId="7" xfId="6" applyNumberFormat="1" applyFont="1"/>
    <xf numFmtId="10" fontId="0" fillId="0" borderId="0" xfId="0" applyNumberFormat="1" applyAlignment="1">
      <alignment horizontal="right"/>
    </xf>
    <xf numFmtId="0" fontId="31" fillId="4" borderId="0" xfId="0" applyFont="1" applyFill="1"/>
    <xf numFmtId="10" fontId="3" fillId="9" borderId="7" xfId="6" applyNumberFormat="1" applyFont="1"/>
    <xf numFmtId="0" fontId="26" fillId="11" borderId="0" xfId="0" applyFont="1" applyFill="1"/>
    <xf numFmtId="0" fontId="32" fillId="4" borderId="0" xfId="0" applyFont="1" applyFill="1"/>
    <xf numFmtId="0" fontId="20" fillId="10" borderId="5" xfId="0" applyFont="1" applyFill="1" applyBorder="1"/>
    <xf numFmtId="0" fontId="20" fillId="10" borderId="8" xfId="0" applyFont="1" applyFill="1" applyBorder="1"/>
    <xf numFmtId="0" fontId="4" fillId="4" borderId="0" xfId="0" applyFont="1" applyFill="1"/>
    <xf numFmtId="0" fontId="33" fillId="0" borderId="5" xfId="0" applyFont="1" applyBorder="1"/>
    <xf numFmtId="0" fontId="34" fillId="0" borderId="5" xfId="0" applyFont="1" applyBorder="1"/>
    <xf numFmtId="0" fontId="27" fillId="0" borderId="5" xfId="0" applyFont="1" applyBorder="1"/>
    <xf numFmtId="0" fontId="27" fillId="11" borderId="5" xfId="0" applyFont="1" applyFill="1" applyBorder="1"/>
    <xf numFmtId="43" fontId="0" fillId="0" borderId="5" xfId="0" applyNumberFormat="1" applyBorder="1"/>
    <xf numFmtId="0" fontId="27" fillId="7" borderId="5" xfId="0" applyFont="1" applyFill="1" applyBorder="1"/>
    <xf numFmtId="10" fontId="0" fillId="8" borderId="5" xfId="0" applyNumberFormat="1" applyFill="1" applyBorder="1"/>
    <xf numFmtId="9" fontId="0" fillId="14" borderId="5" xfId="0" applyNumberFormat="1" applyFill="1" applyBorder="1" applyAlignment="1">
      <alignment horizontal="left"/>
    </xf>
    <xf numFmtId="169" fontId="0" fillId="0" borderId="5" xfId="0" applyNumberFormat="1" applyBorder="1"/>
    <xf numFmtId="0" fontId="35" fillId="0" borderId="0" xfId="0" applyFont="1"/>
    <xf numFmtId="0" fontId="23" fillId="0" borderId="0" xfId="0" applyFont="1"/>
    <xf numFmtId="0" fontId="36" fillId="16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0" fillId="0" borderId="0" xfId="0" applyAlignment="1">
      <alignment wrapText="1"/>
    </xf>
    <xf numFmtId="0" fontId="22" fillId="0" borderId="0" xfId="0" applyFont="1"/>
    <xf numFmtId="0" fontId="37" fillId="0" borderId="0" xfId="0" applyFont="1"/>
    <xf numFmtId="170" fontId="0" fillId="0" borderId="0" xfId="0" applyNumberFormat="1"/>
    <xf numFmtId="171" fontId="0" fillId="0" borderId="0" xfId="0" applyNumberFormat="1"/>
    <xf numFmtId="171" fontId="3" fillId="11" borderId="0" xfId="0" applyNumberFormat="1" applyFont="1" applyFill="1"/>
    <xf numFmtId="171" fontId="0" fillId="9" borderId="7" xfId="6" applyNumberFormat="1" applyFont="1"/>
    <xf numFmtId="171" fontId="0" fillId="11" borderId="5" xfId="0" applyNumberFormat="1" applyFill="1" applyBorder="1"/>
    <xf numFmtId="171" fontId="0" fillId="0" borderId="5" xfId="0" applyNumberFormat="1" applyBorder="1"/>
    <xf numFmtId="171" fontId="0" fillId="0" borderId="5" xfId="0" applyNumberFormat="1" applyBorder="1" applyAlignment="1">
      <alignment horizontal="right"/>
    </xf>
    <xf numFmtId="171" fontId="11" fillId="6" borderId="1" xfId="0" applyNumberFormat="1" applyFont="1" applyFill="1" applyBorder="1" applyAlignment="1">
      <alignment vertical="center" wrapText="1"/>
    </xf>
    <xf numFmtId="171" fontId="3" fillId="0" borderId="0" xfId="0" applyNumberFormat="1" applyFont="1"/>
    <xf numFmtId="171" fontId="3" fillId="0" borderId="5" xfId="0" applyNumberFormat="1" applyFont="1" applyBorder="1"/>
    <xf numFmtId="172" fontId="0" fillId="11" borderId="0" xfId="0" applyNumberFormat="1" applyFill="1"/>
    <xf numFmtId="172" fontId="0" fillId="0" borderId="0" xfId="0" applyNumberFormat="1"/>
    <xf numFmtId="0" fontId="0" fillId="8" borderId="5" xfId="0" applyFill="1" applyBorder="1"/>
    <xf numFmtId="0" fontId="38" fillId="13" borderId="5" xfId="0" applyFont="1" applyFill="1" applyBorder="1" applyAlignment="1">
      <alignment horizontal="right" vertical="center" wrapText="1"/>
    </xf>
    <xf numFmtId="0" fontId="39" fillId="5" borderId="5" xfId="0" applyFont="1" applyFill="1" applyBorder="1" applyAlignment="1">
      <alignment horizontal="right" vertical="center" wrapText="1"/>
    </xf>
    <xf numFmtId="0" fontId="39" fillId="13" borderId="5" xfId="0" applyFont="1" applyFill="1" applyBorder="1" applyAlignment="1">
      <alignment horizontal="right" vertical="center" wrapText="1"/>
    </xf>
    <xf numFmtId="0" fontId="0" fillId="17" borderId="5" xfId="0" applyFill="1" applyBorder="1"/>
    <xf numFmtId="0" fontId="0" fillId="17" borderId="0" xfId="0" applyFill="1"/>
    <xf numFmtId="174" fontId="40" fillId="17" borderId="5" xfId="0" applyNumberFormat="1" applyFont="1" applyFill="1" applyBorder="1"/>
    <xf numFmtId="2" fontId="0" fillId="8" borderId="5" xfId="0" applyNumberFormat="1" applyFill="1" applyBorder="1"/>
    <xf numFmtId="174" fontId="0" fillId="8" borderId="5" xfId="0" applyNumberFormat="1" applyFill="1" applyBorder="1"/>
    <xf numFmtId="0" fontId="30" fillId="18" borderId="5" xfId="0" applyFont="1" applyFill="1" applyBorder="1"/>
    <xf numFmtId="1" fontId="0" fillId="8" borderId="5" xfId="0" applyNumberFormat="1" applyFill="1" applyBorder="1"/>
    <xf numFmtId="1" fontId="0" fillId="0" borderId="5" xfId="0" applyNumberFormat="1" applyBorder="1"/>
    <xf numFmtId="174" fontId="0" fillId="0" borderId="5" xfId="0" applyNumberFormat="1" applyBorder="1"/>
    <xf numFmtId="0" fontId="22" fillId="8" borderId="5" xfId="0" applyFont="1" applyFill="1" applyBorder="1"/>
    <xf numFmtId="173" fontId="22" fillId="8" borderId="5" xfId="0" applyNumberFormat="1" applyFont="1" applyFill="1" applyBorder="1"/>
    <xf numFmtId="0" fontId="22" fillId="15" borderId="5" xfId="0" applyFont="1" applyFill="1" applyBorder="1"/>
    <xf numFmtId="0" fontId="22" fillId="15" borderId="5" xfId="0" applyFont="1" applyFill="1" applyBorder="1" applyAlignment="1">
      <alignment horizontal="center"/>
    </xf>
    <xf numFmtId="0" fontId="22" fillId="17" borderId="5" xfId="0" applyFont="1" applyFill="1" applyBorder="1" applyAlignment="1">
      <alignment horizontal="center"/>
    </xf>
    <xf numFmtId="0" fontId="23" fillId="15" borderId="10" xfId="0" applyFont="1" applyFill="1" applyBorder="1"/>
    <xf numFmtId="0" fontId="23" fillId="15" borderId="11" xfId="0" applyFont="1" applyFill="1" applyBorder="1"/>
    <xf numFmtId="169" fontId="0" fillId="16" borderId="5" xfId="0" applyNumberFormat="1" applyFill="1" applyBorder="1"/>
    <xf numFmtId="10" fontId="0" fillId="0" borderId="5" xfId="0" applyNumberFormat="1" applyBorder="1" applyAlignment="1">
      <alignment horizontal="left"/>
    </xf>
    <xf numFmtId="0" fontId="0" fillId="0" borderId="0" xfId="0" applyAlignment="1">
      <alignment horizontal="center" vertical="center" wrapText="1"/>
    </xf>
    <xf numFmtId="0" fontId="22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171" fontId="0" fillId="0" borderId="0" xfId="0" applyNumberFormat="1" applyAlignment="1">
      <alignment horizontal="center"/>
    </xf>
    <xf numFmtId="0" fontId="3" fillId="14" borderId="0" xfId="0" applyFont="1" applyFill="1" applyAlignment="1">
      <alignment horizontal="center"/>
    </xf>
    <xf numFmtId="0" fontId="30" fillId="14" borderId="0" xfId="0" applyFont="1" applyFill="1" applyAlignment="1">
      <alignment horizontal="center"/>
    </xf>
    <xf numFmtId="0" fontId="8" fillId="4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9" fillId="4" borderId="0" xfId="0" applyFont="1" applyFill="1" applyAlignment="1">
      <alignment horizontal="left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164" fontId="5" fillId="0" borderId="0" xfId="4" applyNumberFormat="1" applyBorder="1" applyAlignment="1" applyProtection="1">
      <alignment horizontal="center"/>
    </xf>
    <xf numFmtId="164" fontId="2" fillId="2" borderId="0" xfId="2" applyNumberFormat="1" applyFont="1" applyBorder="1" applyAlignment="1">
      <alignment horizontal="center"/>
    </xf>
    <xf numFmtId="0" fontId="23" fillId="8" borderId="9" xfId="0" applyFont="1" applyFill="1" applyBorder="1" applyAlignment="1">
      <alignment horizontal="center"/>
    </xf>
    <xf numFmtId="0" fontId="23" fillId="8" borderId="10" xfId="0" applyFont="1" applyFill="1" applyBorder="1" applyAlignment="1">
      <alignment horizontal="center"/>
    </xf>
    <xf numFmtId="0" fontId="23" fillId="17" borderId="5" xfId="0" applyFont="1" applyFill="1" applyBorder="1" applyAlignment="1">
      <alignment horizontal="center"/>
    </xf>
    <xf numFmtId="0" fontId="28" fillId="0" borderId="0" xfId="0" applyFont="1" applyAlignment="1">
      <alignment horizontal="left"/>
    </xf>
    <xf numFmtId="0" fontId="29" fillId="0" borderId="0" xfId="0" applyFont="1" applyAlignment="1">
      <alignment horizontal="left"/>
    </xf>
  </cellXfs>
  <cellStyles count="7">
    <cellStyle name="Accent6" xfId="2" builtinId="49"/>
    <cellStyle name="Comma 2" xfId="3" xr:uid="{CEA49DAB-EA69-4F5C-8329-DBDFF44161C2}"/>
    <cellStyle name="Hyperlink" xfId="5" builtinId="8"/>
    <cellStyle name="Hyperlink 2" xfId="4" xr:uid="{A645A987-83D6-414C-A1C6-2B6184D80E11}"/>
    <cellStyle name="Normal" xfId="0" builtinId="0"/>
    <cellStyle name="Note" xfId="6" builtinId="10"/>
    <cellStyle name="Percent" xfId="1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reener.in/company/AXISBANK/consolidated/" TargetMode="External"/><Relationship Id="rId13" Type="http://schemas.openxmlformats.org/officeDocument/2006/relationships/hyperlink" Target="https://www.screener.in/company/IDBI/consolidated/" TargetMode="External"/><Relationship Id="rId3" Type="http://schemas.openxmlformats.org/officeDocument/2006/relationships/hyperlink" Target="https://www.screener.in/company/KOTAKBANK/consolidated/" TargetMode="External"/><Relationship Id="rId7" Type="http://schemas.openxmlformats.org/officeDocument/2006/relationships/hyperlink" Target="https://www.screener.in/company/KOTAKBANK/consolidated/" TargetMode="External"/><Relationship Id="rId12" Type="http://schemas.openxmlformats.org/officeDocument/2006/relationships/hyperlink" Target="https://www.screener.in/company/AXISBANK/consolidated/" TargetMode="External"/><Relationship Id="rId2" Type="http://schemas.openxmlformats.org/officeDocument/2006/relationships/hyperlink" Target="https://www.screener.in/company/ICICIBANK/consolidated/" TargetMode="External"/><Relationship Id="rId1" Type="http://schemas.openxmlformats.org/officeDocument/2006/relationships/hyperlink" Target="https://www.screener.in/company/HDFCBANK/consolidated/" TargetMode="External"/><Relationship Id="rId6" Type="http://schemas.openxmlformats.org/officeDocument/2006/relationships/hyperlink" Target="https://www.screener.in/company/ICICIBANK/consolidated/" TargetMode="External"/><Relationship Id="rId11" Type="http://schemas.openxmlformats.org/officeDocument/2006/relationships/hyperlink" Target="https://www.screener.in/company/KOTAKBANK/consolidated/" TargetMode="External"/><Relationship Id="rId5" Type="http://schemas.openxmlformats.org/officeDocument/2006/relationships/hyperlink" Target="https://www.screener.in/company/IDBI/consolidated/" TargetMode="External"/><Relationship Id="rId10" Type="http://schemas.openxmlformats.org/officeDocument/2006/relationships/hyperlink" Target="https://www.screener.in/company/ICICIBANK/consolidated/" TargetMode="External"/><Relationship Id="rId4" Type="http://schemas.openxmlformats.org/officeDocument/2006/relationships/hyperlink" Target="https://www.screener.in/company/AXISBANK/consolidated/" TargetMode="External"/><Relationship Id="rId9" Type="http://schemas.openxmlformats.org/officeDocument/2006/relationships/hyperlink" Target="https://www.screener.in/company/IDBI/consolidated/" TargetMode="External"/><Relationship Id="rId1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9DDCD-D294-4BD5-8E9A-C883E11AC37B}">
  <dimension ref="A1:K95"/>
  <sheetViews>
    <sheetView zoomScale="120" zoomScaleNormal="120" zoomScalePageLayoutView="120" workbookViewId="0">
      <pane xSplit="1" ySplit="1" topLeftCell="C83" activePane="bottomRight" state="frozen"/>
      <selection activeCell="C4" sqref="C4"/>
      <selection pane="topRight" activeCell="C4" sqref="C4"/>
      <selection pane="bottomLeft" activeCell="C4" sqref="C4"/>
      <selection pane="bottomRight" activeCell="K89" sqref="K89"/>
    </sheetView>
  </sheetViews>
  <sheetFormatPr defaultColWidth="8.81640625" defaultRowHeight="14.5" x14ac:dyDescent="0.35"/>
  <cols>
    <col min="1" max="1" width="27.6328125" style="2" bestFit="1" customWidth="1"/>
    <col min="2" max="11" width="13.453125" style="2" bestFit="1" customWidth="1"/>
    <col min="12" max="16384" width="8.81640625" style="2"/>
  </cols>
  <sheetData>
    <row r="1" spans="1:11" s="1" customFormat="1" x14ac:dyDescent="0.35">
      <c r="A1" s="1" t="s">
        <v>0</v>
      </c>
      <c r="B1" s="1" t="s">
        <v>84</v>
      </c>
      <c r="E1" s="158" t="str">
        <f>IF(B2&lt;&gt;B3, "A NEW VERSION OF THE WORKSHEET IS AVAILABLE", "")</f>
        <v/>
      </c>
      <c r="F1" s="158"/>
      <c r="G1" s="158"/>
      <c r="H1" s="158"/>
      <c r="I1" s="158"/>
      <c r="J1" s="158"/>
      <c r="K1" s="158"/>
    </row>
    <row r="2" spans="1:11" x14ac:dyDescent="0.35">
      <c r="A2" s="1" t="s">
        <v>1</v>
      </c>
      <c r="B2" s="2">
        <v>2.1</v>
      </c>
      <c r="E2" s="159" t="s">
        <v>2</v>
      </c>
      <c r="F2" s="159"/>
      <c r="G2" s="159"/>
      <c r="H2" s="159"/>
      <c r="I2" s="159"/>
      <c r="J2" s="159"/>
      <c r="K2" s="159"/>
    </row>
    <row r="3" spans="1:11" x14ac:dyDescent="0.35">
      <c r="A3" s="1" t="s">
        <v>3</v>
      </c>
      <c r="B3" s="2">
        <v>2.1</v>
      </c>
    </row>
    <row r="4" spans="1:11" x14ac:dyDescent="0.35">
      <c r="A4" s="1"/>
    </row>
    <row r="5" spans="1:11" x14ac:dyDescent="0.35">
      <c r="A5" s="1" t="s">
        <v>4</v>
      </c>
    </row>
    <row r="6" spans="1:11" x14ac:dyDescent="0.35">
      <c r="A6" s="2" t="s">
        <v>5</v>
      </c>
      <c r="B6" s="2">
        <f>IF(B9&gt;0, B9/B8, 0)</f>
        <v>1541.8597337770382</v>
      </c>
    </row>
    <row r="7" spans="1:11" x14ac:dyDescent="0.35">
      <c r="A7" s="2" t="s">
        <v>6</v>
      </c>
      <c r="B7">
        <v>1</v>
      </c>
    </row>
    <row r="8" spans="1:11" x14ac:dyDescent="0.35">
      <c r="A8" s="2" t="s">
        <v>7</v>
      </c>
      <c r="B8">
        <v>721.2</v>
      </c>
    </row>
    <row r="9" spans="1:11" x14ac:dyDescent="0.35">
      <c r="A9" s="2" t="s">
        <v>8</v>
      </c>
      <c r="B9">
        <v>1111989.24</v>
      </c>
    </row>
    <row r="15" spans="1:11" x14ac:dyDescent="0.35">
      <c r="A15" s="1" t="s">
        <v>9</v>
      </c>
    </row>
    <row r="16" spans="1:11" s="5" customFormat="1" x14ac:dyDescent="0.35">
      <c r="A16" s="3" t="s">
        <v>10</v>
      </c>
      <c r="B16" s="4">
        <v>42825</v>
      </c>
      <c r="C16" s="4">
        <v>43190</v>
      </c>
      <c r="D16" s="4">
        <v>43555</v>
      </c>
      <c r="E16" s="4">
        <v>43921</v>
      </c>
      <c r="F16" s="4">
        <v>44286</v>
      </c>
      <c r="G16" s="4">
        <v>44651</v>
      </c>
      <c r="H16" s="4">
        <v>45016</v>
      </c>
      <c r="I16" s="4">
        <v>45382</v>
      </c>
      <c r="J16" s="4">
        <v>45747</v>
      </c>
      <c r="K16" s="4">
        <v>46112</v>
      </c>
    </row>
    <row r="17" spans="1:11" s="6" customFormat="1" x14ac:dyDescent="0.35">
      <c r="A17" s="6" t="s">
        <v>11</v>
      </c>
      <c r="B17">
        <v>73271.350000000006</v>
      </c>
      <c r="C17">
        <v>85287.84</v>
      </c>
      <c r="D17">
        <v>105160.74</v>
      </c>
      <c r="E17">
        <v>122189.29</v>
      </c>
      <c r="F17">
        <v>128552.4</v>
      </c>
      <c r="G17">
        <v>135936.41</v>
      </c>
      <c r="H17">
        <v>170754.05</v>
      </c>
      <c r="I17">
        <v>283649.02</v>
      </c>
      <c r="J17">
        <v>336367.43</v>
      </c>
      <c r="K17">
        <v>348615.15</v>
      </c>
    </row>
    <row r="18" spans="1:11" s="6" customFormat="1" x14ac:dyDescent="0.35">
      <c r="A18" s="2" t="s">
        <v>12</v>
      </c>
    </row>
    <row r="19" spans="1:11" s="6" customFormat="1" x14ac:dyDescent="0.35">
      <c r="A19" s="2" t="s">
        <v>13</v>
      </c>
    </row>
    <row r="20" spans="1:11" s="6" customFormat="1" x14ac:dyDescent="0.35">
      <c r="A20" s="2" t="s">
        <v>14</v>
      </c>
    </row>
    <row r="21" spans="1:11" s="6" customFormat="1" x14ac:dyDescent="0.35">
      <c r="A21" s="2" t="s">
        <v>15</v>
      </c>
      <c r="B21">
        <v>1271.8</v>
      </c>
      <c r="C21">
        <v>1314.97</v>
      </c>
      <c r="D21">
        <v>1283.53</v>
      </c>
      <c r="E21">
        <v>1293.44</v>
      </c>
      <c r="F21">
        <v>1649.11</v>
      </c>
      <c r="G21">
        <v>1772.27</v>
      </c>
      <c r="H21">
        <v>2176.5</v>
      </c>
      <c r="I21">
        <v>3255.75</v>
      </c>
      <c r="J21">
        <v>3943.56</v>
      </c>
      <c r="K21">
        <v>4691.2</v>
      </c>
    </row>
    <row r="22" spans="1:11" s="6" customFormat="1" x14ac:dyDescent="0.35">
      <c r="A22" s="2" t="s">
        <v>16</v>
      </c>
      <c r="B22">
        <v>8508.2199999999993</v>
      </c>
      <c r="C22">
        <v>9197.15</v>
      </c>
      <c r="D22">
        <v>10454.75</v>
      </c>
      <c r="E22">
        <v>12924.1</v>
      </c>
      <c r="F22">
        <v>13682.35</v>
      </c>
      <c r="G22">
        <v>15904.81</v>
      </c>
      <c r="H22">
        <v>20031.36</v>
      </c>
      <c r="I22">
        <v>31050.07</v>
      </c>
      <c r="J22">
        <v>34167.89</v>
      </c>
      <c r="K22">
        <v>37645.25</v>
      </c>
    </row>
    <row r="23" spans="1:11" s="6" customFormat="1" x14ac:dyDescent="0.35">
      <c r="A23" s="2" t="s">
        <v>17</v>
      </c>
      <c r="B23">
        <v>3328.39</v>
      </c>
      <c r="C23">
        <v>3658.43</v>
      </c>
      <c r="D23">
        <v>3900.17</v>
      </c>
      <c r="E23">
        <v>4192.1499999999996</v>
      </c>
      <c r="F23">
        <v>4780.54</v>
      </c>
      <c r="G23">
        <v>5406.79</v>
      </c>
      <c r="H23">
        <v>6580</v>
      </c>
      <c r="I23">
        <v>87580.05</v>
      </c>
      <c r="J23">
        <v>105188.45</v>
      </c>
      <c r="K23">
        <v>103553.02</v>
      </c>
    </row>
    <row r="24" spans="1:11" s="6" customFormat="1" x14ac:dyDescent="0.35">
      <c r="A24" s="2" t="s">
        <v>18</v>
      </c>
      <c r="B24">
        <v>10747.28</v>
      </c>
      <c r="C24">
        <v>15361.71</v>
      </c>
      <c r="D24">
        <v>19217.82</v>
      </c>
      <c r="E24">
        <v>27049.52</v>
      </c>
      <c r="F24">
        <v>32344.53</v>
      </c>
      <c r="G24">
        <v>33473.089999999997</v>
      </c>
      <c r="H24">
        <v>34254.44</v>
      </c>
      <c r="I24">
        <v>52309.67</v>
      </c>
      <c r="J24">
        <v>43674.55</v>
      </c>
      <c r="K24">
        <v>57745.760000000002</v>
      </c>
    </row>
    <row r="25" spans="1:11" s="6" customFormat="1" x14ac:dyDescent="0.35">
      <c r="A25" s="6" t="s">
        <v>19</v>
      </c>
      <c r="B25">
        <v>12905.08</v>
      </c>
      <c r="C25">
        <v>16056.6</v>
      </c>
      <c r="D25">
        <v>18947.05</v>
      </c>
      <c r="E25">
        <v>24878.97</v>
      </c>
      <c r="F25">
        <v>27332.880000000001</v>
      </c>
      <c r="G25">
        <v>31758.99</v>
      </c>
      <c r="H25">
        <v>33912.050000000003</v>
      </c>
      <c r="I25">
        <v>124345.75</v>
      </c>
      <c r="J25">
        <v>134548.5</v>
      </c>
      <c r="K25">
        <v>146847.66</v>
      </c>
    </row>
    <row r="26" spans="1:11" s="6" customFormat="1" x14ac:dyDescent="0.35">
      <c r="A26" s="6" t="s">
        <v>20</v>
      </c>
      <c r="B26">
        <v>886.19</v>
      </c>
      <c r="C26">
        <v>966.78</v>
      </c>
      <c r="D26">
        <v>1220.67</v>
      </c>
      <c r="E26">
        <v>1276.77</v>
      </c>
      <c r="F26">
        <v>1385.01</v>
      </c>
      <c r="G26">
        <v>1680.73</v>
      </c>
      <c r="H26">
        <v>2345.4699999999998</v>
      </c>
      <c r="I26">
        <v>3092.08</v>
      </c>
      <c r="J26">
        <v>3805.23</v>
      </c>
      <c r="K26">
        <v>4194.8999999999996</v>
      </c>
    </row>
    <row r="27" spans="1:11" s="6" customFormat="1" x14ac:dyDescent="0.35">
      <c r="A27" s="6" t="s">
        <v>21</v>
      </c>
      <c r="B27">
        <v>38041.58</v>
      </c>
      <c r="C27">
        <v>42381.48</v>
      </c>
      <c r="D27">
        <v>53712.69</v>
      </c>
      <c r="E27">
        <v>62137.42</v>
      </c>
      <c r="F27">
        <v>59247.59</v>
      </c>
      <c r="G27">
        <v>58584.33</v>
      </c>
      <c r="H27">
        <v>77779.94</v>
      </c>
      <c r="I27">
        <v>154138.54999999999</v>
      </c>
      <c r="J27">
        <v>183894.2</v>
      </c>
      <c r="K27">
        <v>185491.23</v>
      </c>
    </row>
    <row r="28" spans="1:11" s="6" customFormat="1" x14ac:dyDescent="0.35">
      <c r="A28" s="6" t="s">
        <v>22</v>
      </c>
      <c r="B28">
        <v>23392.97</v>
      </c>
      <c r="C28">
        <v>28463.919999999998</v>
      </c>
      <c r="D28">
        <v>34318.160000000003</v>
      </c>
      <c r="E28">
        <v>38194.86</v>
      </c>
      <c r="F28">
        <v>42796.15</v>
      </c>
      <c r="G28">
        <v>50873.38</v>
      </c>
      <c r="H28">
        <v>61498.39</v>
      </c>
      <c r="I28">
        <v>76568.600000000006</v>
      </c>
      <c r="J28">
        <v>96242.05</v>
      </c>
      <c r="K28">
        <v>102141.45</v>
      </c>
    </row>
    <row r="29" spans="1:11" s="6" customFormat="1" x14ac:dyDescent="0.35">
      <c r="A29" s="6" t="s">
        <v>23</v>
      </c>
      <c r="B29">
        <v>8078.12</v>
      </c>
      <c r="C29">
        <v>9903.08</v>
      </c>
      <c r="D29">
        <v>11872.55</v>
      </c>
      <c r="E29">
        <v>10898.59</v>
      </c>
      <c r="F29">
        <v>10939.38</v>
      </c>
      <c r="G29">
        <v>12722.48</v>
      </c>
      <c r="H29">
        <v>15349.69</v>
      </c>
      <c r="I29">
        <v>11122.1</v>
      </c>
      <c r="J29">
        <v>22801.88</v>
      </c>
      <c r="K29">
        <v>22921.99</v>
      </c>
    </row>
    <row r="30" spans="1:11" s="6" customFormat="1" x14ac:dyDescent="0.35">
      <c r="A30" s="6" t="s">
        <v>24</v>
      </c>
      <c r="B30">
        <v>15280.48</v>
      </c>
      <c r="C30">
        <v>18510.02</v>
      </c>
      <c r="D30">
        <v>22332.43</v>
      </c>
      <c r="E30">
        <v>27253.95</v>
      </c>
      <c r="F30">
        <v>31833.21</v>
      </c>
      <c r="G30">
        <v>38052.75</v>
      </c>
      <c r="H30">
        <v>45997.11</v>
      </c>
      <c r="I30">
        <v>64062.04</v>
      </c>
      <c r="J30">
        <v>70792.25</v>
      </c>
      <c r="K30">
        <v>76025.97</v>
      </c>
    </row>
    <row r="31" spans="1:11" s="6" customFormat="1" x14ac:dyDescent="0.35">
      <c r="A31" s="6" t="s">
        <v>25</v>
      </c>
      <c r="B31">
        <v>2818.8</v>
      </c>
      <c r="C31">
        <v>3373.63</v>
      </c>
      <c r="D31">
        <v>4084.95</v>
      </c>
      <c r="E31">
        <v>1370.82</v>
      </c>
      <c r="F31">
        <v>3583.32</v>
      </c>
      <c r="G31">
        <v>8595.52</v>
      </c>
      <c r="H31">
        <v>10601.43</v>
      </c>
      <c r="I31">
        <v>14813.96</v>
      </c>
      <c r="J31">
        <v>16834.84</v>
      </c>
      <c r="K31">
        <v>23859.77</v>
      </c>
    </row>
    <row r="32" spans="1:11" s="6" customFormat="1" x14ac:dyDescent="0.35"/>
    <row r="33" spans="1:11" x14ac:dyDescent="0.35">
      <c r="A33" s="6"/>
    </row>
    <row r="34" spans="1:11" x14ac:dyDescent="0.35">
      <c r="A34" s="6"/>
    </row>
    <row r="35" spans="1:11" x14ac:dyDescent="0.35">
      <c r="A35" s="6"/>
    </row>
    <row r="36" spans="1:11" x14ac:dyDescent="0.35">
      <c r="A36" s="6"/>
    </row>
    <row r="37" spans="1:11" x14ac:dyDescent="0.35">
      <c r="A37" s="6"/>
    </row>
    <row r="38" spans="1:11" x14ac:dyDescent="0.35">
      <c r="A38" s="6"/>
    </row>
    <row r="39" spans="1:11" x14ac:dyDescent="0.35">
      <c r="A39" s="6"/>
    </row>
    <row r="40" spans="1:11" x14ac:dyDescent="0.35">
      <c r="A40" s="1" t="s">
        <v>26</v>
      </c>
    </row>
    <row r="41" spans="1:11" s="5" customFormat="1" x14ac:dyDescent="0.35">
      <c r="A41" s="3" t="s">
        <v>10</v>
      </c>
      <c r="B41" s="4">
        <v>45382</v>
      </c>
      <c r="C41" s="4">
        <v>45473</v>
      </c>
      <c r="D41" s="4">
        <v>45565</v>
      </c>
      <c r="E41" s="4">
        <v>45657</v>
      </c>
      <c r="F41" s="4">
        <v>45747</v>
      </c>
      <c r="G41" s="4">
        <v>45838</v>
      </c>
      <c r="H41" s="4">
        <v>45930</v>
      </c>
      <c r="I41" s="4">
        <v>46022</v>
      </c>
      <c r="J41" s="4">
        <v>46112</v>
      </c>
      <c r="K41" s="4">
        <v>46203</v>
      </c>
    </row>
    <row r="42" spans="1:11" s="6" customFormat="1" x14ac:dyDescent="0.35">
      <c r="A42" s="6" t="s">
        <v>11</v>
      </c>
      <c r="B42">
        <v>79433.61</v>
      </c>
      <c r="C42">
        <v>81546.2</v>
      </c>
      <c r="D42">
        <v>83001.72</v>
      </c>
      <c r="E42">
        <v>85040.17</v>
      </c>
      <c r="F42">
        <v>86779.34</v>
      </c>
      <c r="G42">
        <v>87371.87</v>
      </c>
      <c r="H42">
        <v>86993.84</v>
      </c>
      <c r="I42">
        <v>87066.94</v>
      </c>
      <c r="J42">
        <v>87182.5</v>
      </c>
      <c r="K42">
        <v>90575.33</v>
      </c>
    </row>
    <row r="43" spans="1:11" s="6" customFormat="1" x14ac:dyDescent="0.35">
      <c r="A43" s="6" t="s">
        <v>27</v>
      </c>
      <c r="B43">
        <v>62938.45</v>
      </c>
      <c r="C43">
        <v>49689.62</v>
      </c>
      <c r="D43">
        <v>52074.11</v>
      </c>
      <c r="E43">
        <v>41306.79</v>
      </c>
      <c r="F43">
        <v>47709.16</v>
      </c>
      <c r="G43">
        <v>64496.63</v>
      </c>
      <c r="H43">
        <v>45160.88</v>
      </c>
      <c r="I43">
        <v>54144.75</v>
      </c>
      <c r="J43">
        <v>44027.87</v>
      </c>
      <c r="K43">
        <v>58291.57</v>
      </c>
    </row>
    <row r="44" spans="1:11" s="6" customFormat="1" x14ac:dyDescent="0.35">
      <c r="A44" s="6" t="s">
        <v>19</v>
      </c>
      <c r="B44">
        <v>44957.74</v>
      </c>
      <c r="C44">
        <v>35450.29</v>
      </c>
      <c r="D44">
        <v>38455.019999999997</v>
      </c>
      <c r="E44">
        <v>27153.77</v>
      </c>
      <c r="F44">
        <v>33489.42</v>
      </c>
      <c r="G44">
        <v>45683.1</v>
      </c>
      <c r="H44">
        <v>31566.79</v>
      </c>
      <c r="I44">
        <v>39860.33</v>
      </c>
      <c r="J44">
        <v>29737.439999999999</v>
      </c>
      <c r="K44">
        <v>42535.03</v>
      </c>
    </row>
    <row r="45" spans="1:11" s="6" customFormat="1" x14ac:dyDescent="0.35">
      <c r="A45" s="6" t="s">
        <v>20</v>
      </c>
    </row>
    <row r="46" spans="1:11" s="6" customFormat="1" x14ac:dyDescent="0.35">
      <c r="A46" s="6" t="s">
        <v>21</v>
      </c>
      <c r="B46">
        <v>43691.51</v>
      </c>
      <c r="C46">
        <v>44579.5</v>
      </c>
      <c r="D46">
        <v>45414.21</v>
      </c>
      <c r="E46">
        <v>46914.28</v>
      </c>
      <c r="F46">
        <v>46986.21</v>
      </c>
      <c r="G46">
        <v>47708.51</v>
      </c>
      <c r="H46">
        <v>46740.86</v>
      </c>
      <c r="I46">
        <v>45821.42</v>
      </c>
      <c r="J46">
        <v>45220.44</v>
      </c>
      <c r="K46">
        <v>47625.63</v>
      </c>
    </row>
    <row r="47" spans="1:11" s="6" customFormat="1" x14ac:dyDescent="0.35">
      <c r="A47" s="6" t="s">
        <v>22</v>
      </c>
      <c r="B47">
        <v>17761.39</v>
      </c>
      <c r="C47">
        <v>22727.37</v>
      </c>
      <c r="D47">
        <v>23968.42</v>
      </c>
      <c r="E47">
        <v>23972.87</v>
      </c>
      <c r="F47">
        <v>25573.39</v>
      </c>
      <c r="G47">
        <v>20849.830000000002</v>
      </c>
      <c r="H47">
        <v>26658.89</v>
      </c>
      <c r="I47">
        <v>26961.1</v>
      </c>
      <c r="J47">
        <v>27671.63</v>
      </c>
      <c r="K47">
        <v>27193.16</v>
      </c>
    </row>
    <row r="48" spans="1:11" s="6" customFormat="1" x14ac:dyDescent="0.35">
      <c r="A48" s="6" t="s">
        <v>23</v>
      </c>
      <c r="B48">
        <v>-251.48</v>
      </c>
      <c r="C48">
        <v>5539.32</v>
      </c>
      <c r="D48">
        <v>5340.98</v>
      </c>
      <c r="E48">
        <v>5632.76</v>
      </c>
      <c r="F48">
        <v>6288.82</v>
      </c>
      <c r="G48">
        <v>3759.4</v>
      </c>
      <c r="H48">
        <v>6295.12</v>
      </c>
      <c r="I48">
        <v>6270.06</v>
      </c>
      <c r="J48">
        <v>6597.41</v>
      </c>
      <c r="K48">
        <v>6810.47</v>
      </c>
    </row>
    <row r="49" spans="1:11" s="6" customFormat="1" x14ac:dyDescent="0.35">
      <c r="A49" s="6" t="s">
        <v>24</v>
      </c>
      <c r="B49">
        <v>17622.38</v>
      </c>
      <c r="C49">
        <v>16474.849999999999</v>
      </c>
      <c r="D49">
        <v>17825.91</v>
      </c>
      <c r="E49">
        <v>17656.61</v>
      </c>
      <c r="F49">
        <v>18834.88</v>
      </c>
      <c r="G49">
        <v>16257.91</v>
      </c>
      <c r="H49">
        <v>19610.669999999998</v>
      </c>
      <c r="I49">
        <v>19806.63</v>
      </c>
      <c r="J49">
        <v>20350.759999999998</v>
      </c>
      <c r="K49">
        <v>19244.71</v>
      </c>
    </row>
    <row r="50" spans="1:11" x14ac:dyDescent="0.35">
      <c r="A50" s="6" t="s">
        <v>28</v>
      </c>
      <c r="B50">
        <v>16495.16</v>
      </c>
      <c r="C50">
        <v>31856.58</v>
      </c>
      <c r="D50">
        <v>30927.61</v>
      </c>
      <c r="E50">
        <v>43733.38</v>
      </c>
      <c r="F50">
        <v>39070.18</v>
      </c>
      <c r="G50">
        <v>22875.24</v>
      </c>
      <c r="H50">
        <v>41832.959999999999</v>
      </c>
      <c r="I50">
        <v>32922.19</v>
      </c>
      <c r="J50">
        <v>43154.63</v>
      </c>
      <c r="K50">
        <v>32283.759999999998</v>
      </c>
    </row>
    <row r="51" spans="1:11" x14ac:dyDescent="0.35">
      <c r="A51" s="6"/>
    </row>
    <row r="52" spans="1:11" x14ac:dyDescent="0.35">
      <c r="A52" s="6"/>
    </row>
    <row r="53" spans="1:11" x14ac:dyDescent="0.35">
      <c r="A53" s="6"/>
    </row>
    <row r="54" spans="1:11" x14ac:dyDescent="0.35">
      <c r="A54" s="6"/>
    </row>
    <row r="55" spans="1:11" x14ac:dyDescent="0.35">
      <c r="A55" s="1" t="s">
        <v>29</v>
      </c>
    </row>
    <row r="56" spans="1:11" s="5" customFormat="1" x14ac:dyDescent="0.35">
      <c r="A56" s="3" t="s">
        <v>10</v>
      </c>
      <c r="B56" s="4">
        <v>42825</v>
      </c>
      <c r="C56" s="4">
        <v>43190</v>
      </c>
      <c r="D56" s="4">
        <v>43555</v>
      </c>
      <c r="E56" s="4">
        <v>43921</v>
      </c>
      <c r="F56" s="4">
        <v>44286</v>
      </c>
      <c r="G56" s="4">
        <v>44651</v>
      </c>
      <c r="H56" s="4">
        <v>45016</v>
      </c>
      <c r="I56" s="4">
        <v>45382</v>
      </c>
      <c r="J56" s="4">
        <v>45747</v>
      </c>
      <c r="K56" s="4">
        <v>46112</v>
      </c>
    </row>
    <row r="57" spans="1:11" x14ac:dyDescent="0.35">
      <c r="A57" s="6" t="s">
        <v>30</v>
      </c>
      <c r="B57">
        <v>512.51</v>
      </c>
      <c r="C57">
        <v>519.02</v>
      </c>
      <c r="D57">
        <v>544.66</v>
      </c>
      <c r="E57">
        <v>548.33000000000004</v>
      </c>
      <c r="F57">
        <v>551.28</v>
      </c>
      <c r="G57">
        <v>554.54999999999995</v>
      </c>
      <c r="H57">
        <v>557.97</v>
      </c>
      <c r="I57">
        <v>759.69</v>
      </c>
      <c r="J57">
        <v>765.22</v>
      </c>
      <c r="K57">
        <v>1539.34</v>
      </c>
    </row>
    <row r="58" spans="1:11" x14ac:dyDescent="0.35">
      <c r="A58" s="6" t="s">
        <v>31</v>
      </c>
      <c r="B58">
        <v>91281.44</v>
      </c>
      <c r="C58">
        <v>109080.11</v>
      </c>
      <c r="D58">
        <v>153128</v>
      </c>
      <c r="E58">
        <v>175810.38</v>
      </c>
      <c r="F58">
        <v>209258.9</v>
      </c>
      <c r="G58">
        <v>246771.62</v>
      </c>
      <c r="H58">
        <v>288879.53000000003</v>
      </c>
      <c r="I58">
        <v>455635.56</v>
      </c>
      <c r="J58">
        <v>521024.17</v>
      </c>
      <c r="K58">
        <v>584520.13</v>
      </c>
    </row>
    <row r="59" spans="1:11" x14ac:dyDescent="0.35">
      <c r="A59" s="6" t="s">
        <v>32</v>
      </c>
      <c r="B59">
        <v>741549.89</v>
      </c>
      <c r="C59">
        <v>944817.22</v>
      </c>
      <c r="D59">
        <v>1080235.46</v>
      </c>
      <c r="E59">
        <v>1333041.45</v>
      </c>
      <c r="F59">
        <v>1511417.62</v>
      </c>
      <c r="G59">
        <v>1784969.53</v>
      </c>
      <c r="H59">
        <v>2139211.91</v>
      </c>
      <c r="I59">
        <v>3107502.74</v>
      </c>
      <c r="J59">
        <v>3345503.8</v>
      </c>
      <c r="K59">
        <v>3688122.84</v>
      </c>
    </row>
    <row r="60" spans="1:11" x14ac:dyDescent="0.35">
      <c r="A60" s="6" t="s">
        <v>33</v>
      </c>
      <c r="B60">
        <v>59000.32</v>
      </c>
      <c r="C60">
        <v>48769.82</v>
      </c>
      <c r="D60">
        <v>58897.59</v>
      </c>
      <c r="E60">
        <v>71430.27</v>
      </c>
      <c r="F60">
        <v>78278.83</v>
      </c>
      <c r="G60">
        <v>90638.6</v>
      </c>
      <c r="H60">
        <v>101783.03</v>
      </c>
      <c r="I60">
        <v>466296.27</v>
      </c>
      <c r="J60">
        <v>524816.64000000001</v>
      </c>
      <c r="K60">
        <v>633519.03</v>
      </c>
    </row>
    <row r="61" spans="1:11" s="1" customFormat="1" x14ac:dyDescent="0.35">
      <c r="A61" s="1" t="s">
        <v>34</v>
      </c>
      <c r="B61">
        <v>892344.16</v>
      </c>
      <c r="C61">
        <v>1103186.17</v>
      </c>
      <c r="D61">
        <v>1292805.71</v>
      </c>
      <c r="E61">
        <v>1580830.43</v>
      </c>
      <c r="F61">
        <v>1799506.63</v>
      </c>
      <c r="G61">
        <v>2122934.2999999998</v>
      </c>
      <c r="H61">
        <v>2530432.44</v>
      </c>
      <c r="I61">
        <v>4030194.26</v>
      </c>
      <c r="J61">
        <v>4392109.83</v>
      </c>
      <c r="K61">
        <v>4907701.34</v>
      </c>
    </row>
    <row r="62" spans="1:11" x14ac:dyDescent="0.35">
      <c r="A62" s="6" t="s">
        <v>35</v>
      </c>
      <c r="B62">
        <v>3999.7</v>
      </c>
      <c r="C62">
        <v>4008.13</v>
      </c>
      <c r="D62">
        <v>4368.63</v>
      </c>
      <c r="E62">
        <v>4775.6499999999996</v>
      </c>
      <c r="F62">
        <v>5248.35</v>
      </c>
      <c r="G62">
        <v>6432.07</v>
      </c>
      <c r="H62">
        <v>8431.35</v>
      </c>
      <c r="I62">
        <v>12603.76</v>
      </c>
      <c r="J62">
        <v>15257.94</v>
      </c>
      <c r="K62">
        <v>16491.59</v>
      </c>
    </row>
    <row r="63" spans="1:11" x14ac:dyDescent="0.35">
      <c r="A63" s="6" t="s">
        <v>36</v>
      </c>
    </row>
    <row r="64" spans="1:11" x14ac:dyDescent="0.35">
      <c r="A64" s="6" t="s">
        <v>37</v>
      </c>
      <c r="B64">
        <v>210777.11</v>
      </c>
      <c r="C64">
        <v>238460.92</v>
      </c>
      <c r="D64">
        <v>289445.87</v>
      </c>
      <c r="E64">
        <v>389304.95</v>
      </c>
      <c r="F64">
        <v>438823.11</v>
      </c>
      <c r="G64">
        <v>449263.86</v>
      </c>
      <c r="H64">
        <v>511581.71</v>
      </c>
      <c r="I64">
        <v>1005681.63</v>
      </c>
      <c r="J64">
        <v>1186472.8899999999</v>
      </c>
      <c r="K64">
        <v>1280216.29</v>
      </c>
    </row>
    <row r="65" spans="1:11" x14ac:dyDescent="0.35">
      <c r="A65" s="6" t="s">
        <v>38</v>
      </c>
      <c r="B65">
        <v>677567.35</v>
      </c>
      <c r="C65">
        <v>860717.12</v>
      </c>
      <c r="D65">
        <v>998991.21</v>
      </c>
      <c r="E65">
        <v>1186749.83</v>
      </c>
      <c r="F65">
        <v>1355435.17</v>
      </c>
      <c r="G65">
        <v>1667238.37</v>
      </c>
      <c r="H65">
        <v>2010419.38</v>
      </c>
      <c r="I65">
        <v>3011908.87</v>
      </c>
      <c r="J65">
        <v>3190379</v>
      </c>
      <c r="K65">
        <v>3610993.46</v>
      </c>
    </row>
    <row r="66" spans="1:11" s="1" customFormat="1" x14ac:dyDescent="0.35">
      <c r="A66" s="1" t="s">
        <v>34</v>
      </c>
      <c r="B66">
        <v>892344.16</v>
      </c>
      <c r="C66">
        <v>1103186.17</v>
      </c>
      <c r="D66">
        <v>1292805.71</v>
      </c>
      <c r="E66">
        <v>1580830.43</v>
      </c>
      <c r="F66">
        <v>1799506.63</v>
      </c>
      <c r="G66">
        <v>2122934.2999999998</v>
      </c>
      <c r="H66">
        <v>2530432.44</v>
      </c>
      <c r="I66">
        <v>4030194.26</v>
      </c>
      <c r="J66">
        <v>4392109.83</v>
      </c>
      <c r="K66">
        <v>4907701.34</v>
      </c>
    </row>
    <row r="67" spans="1:11" s="6" customFormat="1" x14ac:dyDescent="0.35">
      <c r="A67" s="6" t="s">
        <v>39</v>
      </c>
    </row>
    <row r="68" spans="1:11" x14ac:dyDescent="0.35">
      <c r="A68" s="6" t="s">
        <v>40</v>
      </c>
    </row>
    <row r="69" spans="1:11" x14ac:dyDescent="0.35">
      <c r="A69" s="2" t="s">
        <v>41</v>
      </c>
      <c r="B69">
        <v>37910.550000000003</v>
      </c>
      <c r="C69">
        <v>104688.2</v>
      </c>
      <c r="D69">
        <v>46804.59</v>
      </c>
      <c r="E69">
        <v>72211</v>
      </c>
      <c r="F69">
        <v>97370.35</v>
      </c>
      <c r="G69">
        <v>130030.71</v>
      </c>
      <c r="H69">
        <v>117189.28</v>
      </c>
      <c r="I69">
        <v>178718.67</v>
      </c>
      <c r="J69">
        <v>144390.25</v>
      </c>
      <c r="K69">
        <v>200707.11</v>
      </c>
    </row>
    <row r="70" spans="1:11" x14ac:dyDescent="0.35">
      <c r="A70" s="2" t="s">
        <v>42</v>
      </c>
      <c r="B70">
        <v>2562545717</v>
      </c>
      <c r="C70">
        <v>2595090267</v>
      </c>
      <c r="D70">
        <v>2723306610</v>
      </c>
      <c r="E70">
        <v>5483286460</v>
      </c>
      <c r="F70">
        <v>5512776482</v>
      </c>
      <c r="G70">
        <v>5545540976</v>
      </c>
      <c r="H70">
        <v>5579742786</v>
      </c>
      <c r="I70">
        <v>7596910662</v>
      </c>
      <c r="J70">
        <v>7652221674</v>
      </c>
      <c r="K70">
        <v>15393368328</v>
      </c>
    </row>
    <row r="71" spans="1:11" x14ac:dyDescent="0.35">
      <c r="A71" s="2" t="s">
        <v>43</v>
      </c>
    </row>
    <row r="72" spans="1:11" x14ac:dyDescent="0.35">
      <c r="A72" s="2" t="s">
        <v>44</v>
      </c>
      <c r="B72">
        <v>2</v>
      </c>
      <c r="C72">
        <v>2</v>
      </c>
      <c r="D72">
        <v>2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5">
      <c r="A74" s="6"/>
    </row>
    <row r="75" spans="1:11" x14ac:dyDescent="0.35">
      <c r="A75" s="6"/>
    </row>
    <row r="76" spans="1:11" x14ac:dyDescent="0.35">
      <c r="A76" s="6"/>
    </row>
    <row r="77" spans="1:11" x14ac:dyDescent="0.35">
      <c r="A77" s="6"/>
    </row>
    <row r="78" spans="1:11" x14ac:dyDescent="0.35">
      <c r="A78" s="6"/>
    </row>
    <row r="79" spans="1:11" x14ac:dyDescent="0.35">
      <c r="A79" s="6"/>
    </row>
    <row r="80" spans="1:11" x14ac:dyDescent="0.35">
      <c r="A80" s="1" t="s">
        <v>45</v>
      </c>
    </row>
    <row r="81" spans="1:11" s="5" customFormat="1" x14ac:dyDescent="0.35">
      <c r="A81" s="3" t="s">
        <v>10</v>
      </c>
      <c r="B81" s="4">
        <v>42825</v>
      </c>
      <c r="C81" s="4">
        <v>43190</v>
      </c>
      <c r="D81" s="4">
        <v>43555</v>
      </c>
      <c r="E81" s="4">
        <v>43921</v>
      </c>
      <c r="F81" s="4">
        <v>44286</v>
      </c>
      <c r="G81" s="4">
        <v>44651</v>
      </c>
      <c r="H81" s="4">
        <v>45016</v>
      </c>
      <c r="I81" s="4">
        <v>45382</v>
      </c>
      <c r="J81" s="4">
        <v>45747</v>
      </c>
      <c r="K81" s="4">
        <v>46112</v>
      </c>
    </row>
    <row r="82" spans="1:11" s="1" customFormat="1" x14ac:dyDescent="0.35">
      <c r="A82" s="6" t="s">
        <v>46</v>
      </c>
      <c r="B82">
        <v>17281.59</v>
      </c>
      <c r="C82">
        <v>17214.38</v>
      </c>
      <c r="D82">
        <v>-62871.54</v>
      </c>
      <c r="E82">
        <v>-16869.09</v>
      </c>
      <c r="F82">
        <v>42476.45</v>
      </c>
      <c r="G82">
        <v>-11959.57</v>
      </c>
      <c r="H82">
        <v>20813.7</v>
      </c>
      <c r="I82">
        <v>19069.34</v>
      </c>
      <c r="J82">
        <v>127241.84</v>
      </c>
      <c r="K82">
        <v>113506.38</v>
      </c>
    </row>
    <row r="83" spans="1:11" s="6" customFormat="1" x14ac:dyDescent="0.35">
      <c r="A83" s="6" t="s">
        <v>47</v>
      </c>
      <c r="B83">
        <v>-1146.3800000000001</v>
      </c>
      <c r="C83">
        <v>-841.6</v>
      </c>
      <c r="D83">
        <v>-1503.06</v>
      </c>
      <c r="E83">
        <v>-1402.94</v>
      </c>
      <c r="F83">
        <v>-1822.7</v>
      </c>
      <c r="G83">
        <v>-2051.23</v>
      </c>
      <c r="H83">
        <v>-2992.18</v>
      </c>
      <c r="I83">
        <v>16600.419999999998</v>
      </c>
      <c r="J83">
        <v>-3650.91</v>
      </c>
      <c r="K83">
        <v>7476.62</v>
      </c>
    </row>
    <row r="84" spans="1:11" s="6" customFormat="1" x14ac:dyDescent="0.35">
      <c r="A84" s="6" t="s">
        <v>48</v>
      </c>
      <c r="B84">
        <v>-5892.97</v>
      </c>
      <c r="C84">
        <v>57377.66</v>
      </c>
      <c r="D84">
        <v>23130.69</v>
      </c>
      <c r="E84">
        <v>24394.5</v>
      </c>
      <c r="F84">
        <v>-7321.35</v>
      </c>
      <c r="G84">
        <v>48124.02</v>
      </c>
      <c r="H84">
        <v>23940.560000000001</v>
      </c>
      <c r="I84">
        <v>-3983.06</v>
      </c>
      <c r="J84">
        <v>-102477.54</v>
      </c>
      <c r="K84">
        <v>-59004.85</v>
      </c>
    </row>
    <row r="85" spans="1:11" s="1" customFormat="1" x14ac:dyDescent="0.35">
      <c r="A85" s="6" t="s">
        <v>49</v>
      </c>
      <c r="B85">
        <v>10242.24</v>
      </c>
      <c r="C85">
        <v>73750.44</v>
      </c>
      <c r="D85">
        <v>-41243.910000000003</v>
      </c>
      <c r="E85">
        <v>6122.47</v>
      </c>
      <c r="F85">
        <v>33332.400000000001</v>
      </c>
      <c r="G85">
        <v>34113.22</v>
      </c>
      <c r="H85">
        <v>41762.080000000002</v>
      </c>
      <c r="I85">
        <v>31686.7</v>
      </c>
      <c r="J85">
        <v>21113.39</v>
      </c>
      <c r="K85">
        <v>61978.15</v>
      </c>
    </row>
    <row r="86" spans="1:11" x14ac:dyDescent="0.35">
      <c r="A86" s="6"/>
      <c r="I86" s="2">
        <f>SUM(H67:H68)-SUM(I67:I68)</f>
        <v>0</v>
      </c>
      <c r="J86" s="2">
        <f t="shared" ref="J86:K86" si="0">SUM(I67:I68)-SUM(J67:J68)</f>
        <v>0</v>
      </c>
      <c r="K86" s="2">
        <f t="shared" si="0"/>
        <v>0</v>
      </c>
    </row>
    <row r="87" spans="1:11" x14ac:dyDescent="0.35">
      <c r="A87" s="6"/>
      <c r="I87" s="2">
        <f>I86+I83</f>
        <v>16600.419999999998</v>
      </c>
      <c r="J87" s="2">
        <f t="shared" ref="J87:K87" si="1">J86+J83</f>
        <v>-3650.91</v>
      </c>
      <c r="K87" s="2">
        <f t="shared" si="1"/>
        <v>7476.62</v>
      </c>
    </row>
    <row r="88" spans="1:11" x14ac:dyDescent="0.35">
      <c r="A88" s="2" t="s">
        <v>120</v>
      </c>
      <c r="I88" s="2">
        <f>'DCF model'!D48*(1-Tax_rate)</f>
        <v>79771.050000000032</v>
      </c>
      <c r="J88" s="2">
        <f>'DCF model'!E48*(1-Tax_rate)</f>
        <v>109190.81249999997</v>
      </c>
      <c r="K88" s="2">
        <f>'DCF model'!F48*(1-Tax_rate)</f>
        <v>105588.76499999998</v>
      </c>
    </row>
    <row r="89" spans="1:11" x14ac:dyDescent="0.35">
      <c r="I89" s="57">
        <f>I88/I87</f>
        <v>4.8053633582764794</v>
      </c>
      <c r="J89" s="57">
        <f>J88/J87</f>
        <v>-29.907834622053127</v>
      </c>
      <c r="K89" s="57">
        <f t="shared" ref="K89" si="2">K88/K87</f>
        <v>14.122526622992741</v>
      </c>
    </row>
    <row r="91" spans="1:11" x14ac:dyDescent="0.35">
      <c r="A91" s="6"/>
    </row>
    <row r="92" spans="1:11" s="1" customFormat="1" x14ac:dyDescent="0.35">
      <c r="A92" s="1" t="s">
        <v>50</v>
      </c>
      <c r="B92">
        <v>360.64</v>
      </c>
      <c r="C92">
        <v>471.53</v>
      </c>
      <c r="D92">
        <v>579.73</v>
      </c>
      <c r="E92">
        <v>430.95</v>
      </c>
      <c r="F92">
        <v>746.83</v>
      </c>
      <c r="G92">
        <v>735.18</v>
      </c>
      <c r="H92">
        <v>804.78</v>
      </c>
      <c r="I92">
        <v>723.95</v>
      </c>
      <c r="J92">
        <v>914.1</v>
      </c>
      <c r="K92">
        <v>731.55</v>
      </c>
    </row>
    <row r="94" spans="1:11" s="1" customFormat="1" x14ac:dyDescent="0.35">
      <c r="A94" s="1" t="s">
        <v>51</v>
      </c>
    </row>
    <row r="95" spans="1:11" x14ac:dyDescent="0.35">
      <c r="A95" s="2" t="s">
        <v>52</v>
      </c>
      <c r="B95" s="7">
        <v>1025.02</v>
      </c>
      <c r="C95" s="7">
        <v>1038.04</v>
      </c>
      <c r="D95" s="7">
        <v>1089.32</v>
      </c>
      <c r="E95" s="7">
        <v>1096.6600000000001</v>
      </c>
      <c r="F95" s="7">
        <v>1102.56</v>
      </c>
      <c r="G95" s="7">
        <v>1109.1099999999999</v>
      </c>
      <c r="H95" s="7">
        <v>1115.95</v>
      </c>
      <c r="I95" s="7">
        <v>1519.38</v>
      </c>
      <c r="J95" s="7">
        <v>1530.44</v>
      </c>
      <c r="K95" s="7">
        <v>1539.34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115188D2-A6DA-40DC-BCBB-DB833990DD36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EAE20-A27E-4C1E-A7E7-D2CD23151DC8}">
  <dimension ref="A1:P213"/>
  <sheetViews>
    <sheetView tabSelected="1" topLeftCell="A153" zoomScale="80" zoomScaleNormal="100" workbookViewId="0">
      <selection activeCell="B166" sqref="B166:F166"/>
    </sheetView>
  </sheetViews>
  <sheetFormatPr defaultRowHeight="14.5" x14ac:dyDescent="0.35"/>
  <cols>
    <col min="1" max="1" width="49.90625" customWidth="1"/>
    <col min="2" max="2" width="23.1796875" customWidth="1"/>
    <col min="3" max="3" width="21.81640625" customWidth="1"/>
    <col min="4" max="4" width="20.6328125" customWidth="1"/>
    <col min="5" max="5" width="21.54296875" customWidth="1"/>
    <col min="6" max="6" width="20.6328125" customWidth="1"/>
    <col min="7" max="7" width="14.6328125" customWidth="1"/>
  </cols>
  <sheetData>
    <row r="1" spans="1:16" ht="37" customHeight="1" x14ac:dyDescent="0.35">
      <c r="A1" s="155" t="s">
        <v>53</v>
      </c>
      <c r="B1" s="155"/>
      <c r="C1" s="155"/>
      <c r="D1" s="155"/>
      <c r="E1" s="155"/>
      <c r="F1" s="155"/>
    </row>
    <row r="3" spans="1:16" ht="26" customHeight="1" x14ac:dyDescent="0.55000000000000004">
      <c r="A3" s="152" t="s">
        <v>54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</row>
    <row r="4" spans="1:16" x14ac:dyDescent="0.35">
      <c r="A4" s="156" t="s">
        <v>246</v>
      </c>
      <c r="B4" s="156"/>
      <c r="C4" s="156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6" x14ac:dyDescent="0.35">
      <c r="A5" s="9" t="s">
        <v>247</v>
      </c>
      <c r="B5" s="9"/>
      <c r="C5" s="9"/>
      <c r="D5" s="9"/>
      <c r="E5" s="9"/>
      <c r="G5" s="9"/>
      <c r="H5" s="9"/>
      <c r="I5" s="9"/>
      <c r="J5" s="9"/>
      <c r="K5" s="9"/>
      <c r="L5" s="9"/>
      <c r="M5" s="9"/>
      <c r="N5" s="9"/>
      <c r="O5" s="9"/>
    </row>
    <row r="6" spans="1:16" x14ac:dyDescent="0.3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6" x14ac:dyDescent="0.35">
      <c r="A7" s="8" t="s">
        <v>248</v>
      </c>
      <c r="C7" s="9"/>
      <c r="E7" s="9"/>
      <c r="G7" s="9"/>
      <c r="H7" s="9"/>
      <c r="I7" s="9"/>
      <c r="J7" s="9"/>
      <c r="K7" s="9"/>
      <c r="L7" s="9"/>
      <c r="M7" s="9"/>
      <c r="N7" s="9"/>
      <c r="O7" s="9"/>
    </row>
    <row r="8" spans="1:16" x14ac:dyDescent="0.35">
      <c r="A8" s="157" t="s">
        <v>250</v>
      </c>
      <c r="B8" s="157"/>
      <c r="C8" s="157"/>
      <c r="D8" s="157"/>
      <c r="E8" s="157"/>
      <c r="F8" s="157"/>
      <c r="H8" s="9"/>
      <c r="I8" s="9"/>
      <c r="J8" s="9"/>
      <c r="K8" s="9"/>
      <c r="L8" s="9"/>
      <c r="M8" s="9"/>
      <c r="N8" s="9"/>
      <c r="O8" s="9"/>
    </row>
    <row r="9" spans="1:16" x14ac:dyDescent="0.35">
      <c r="A9" s="9" t="s">
        <v>251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6" x14ac:dyDescent="0.3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6" x14ac:dyDescent="0.35">
      <c r="A11" s="8" t="s">
        <v>249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6" x14ac:dyDescent="0.35">
      <c r="A12" s="157" t="s">
        <v>252</v>
      </c>
      <c r="B12" s="157"/>
      <c r="C12" s="157"/>
      <c r="D12" s="157"/>
      <c r="E12" s="157"/>
      <c r="F12" s="157"/>
      <c r="G12" s="157"/>
      <c r="H12" s="157"/>
      <c r="I12" s="9"/>
      <c r="J12" s="9"/>
      <c r="K12" s="9"/>
      <c r="L12" s="9"/>
      <c r="M12" s="9"/>
      <c r="N12" s="9"/>
      <c r="O12" s="9"/>
    </row>
    <row r="13" spans="1:16" x14ac:dyDescent="0.35">
      <c r="A13" s="9" t="s">
        <v>253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5" spans="1:16" ht="20" customHeight="1" x14ac:dyDescent="0.55000000000000004">
      <c r="A15" s="152" t="s">
        <v>55</v>
      </c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</row>
    <row r="16" spans="1:16" ht="18.5" x14ac:dyDescent="0.45">
      <c r="A16" s="154" t="s">
        <v>100</v>
      </c>
      <c r="B16" s="154"/>
      <c r="C16" s="11" t="s">
        <v>101</v>
      </c>
      <c r="D16" s="11" t="s">
        <v>102</v>
      </c>
    </row>
    <row r="17" spans="1:16" x14ac:dyDescent="0.35">
      <c r="A17" t="s">
        <v>103</v>
      </c>
    </row>
    <row r="18" spans="1:16" x14ac:dyDescent="0.35">
      <c r="A18" t="s">
        <v>104</v>
      </c>
      <c r="D18" s="43"/>
      <c r="E18" s="43"/>
      <c r="F18" s="43"/>
      <c r="G18" s="43"/>
      <c r="H18" s="43"/>
      <c r="I18" s="43"/>
      <c r="J18" s="43"/>
      <c r="K18" s="43"/>
      <c r="L18" s="43"/>
    </row>
    <row r="19" spans="1:16" x14ac:dyDescent="0.35">
      <c r="A19" t="s">
        <v>109</v>
      </c>
      <c r="C19" s="55">
        <v>0.12</v>
      </c>
      <c r="D19" s="44" t="s">
        <v>117</v>
      </c>
      <c r="E19" s="44"/>
      <c r="F19" s="44"/>
      <c r="G19" s="44"/>
      <c r="H19" s="44"/>
      <c r="I19" s="44"/>
      <c r="J19" s="44"/>
      <c r="K19" s="44"/>
      <c r="L19" s="44"/>
    </row>
    <row r="20" spans="1:16" x14ac:dyDescent="0.35">
      <c r="A20" t="s">
        <v>110</v>
      </c>
      <c r="C20" s="55">
        <v>0.01</v>
      </c>
      <c r="D20" s="46"/>
      <c r="E20" s="44"/>
      <c r="F20" s="44"/>
      <c r="G20" s="44"/>
      <c r="H20" s="44"/>
      <c r="I20" s="44"/>
      <c r="J20" s="44"/>
      <c r="K20" s="44"/>
      <c r="L20" s="44"/>
    </row>
    <row r="21" spans="1:16" x14ac:dyDescent="0.35">
      <c r="C21" s="56"/>
    </row>
    <row r="22" spans="1:16" x14ac:dyDescent="0.35">
      <c r="A22" t="s">
        <v>105</v>
      </c>
      <c r="C22" s="55">
        <v>0.06</v>
      </c>
      <c r="D22" t="s">
        <v>172</v>
      </c>
    </row>
    <row r="23" spans="1:16" x14ac:dyDescent="0.35">
      <c r="C23" s="56"/>
    </row>
    <row r="24" spans="1:16" x14ac:dyDescent="0.35">
      <c r="A24" t="s">
        <v>106</v>
      </c>
      <c r="C24" s="88">
        <v>7.2099999999999997E-2</v>
      </c>
      <c r="D24" t="s">
        <v>167</v>
      </c>
    </row>
    <row r="25" spans="1:16" x14ac:dyDescent="0.35">
      <c r="A25" t="s">
        <v>107</v>
      </c>
      <c r="C25" s="55">
        <f>14.209%-C24</f>
        <v>6.9989999999999997E-2</v>
      </c>
      <c r="D25" t="s">
        <v>168</v>
      </c>
    </row>
    <row r="26" spans="1:16" x14ac:dyDescent="0.35">
      <c r="A26" t="s">
        <v>108</v>
      </c>
      <c r="C26" s="55">
        <v>0.25</v>
      </c>
      <c r="D26" t="s">
        <v>169</v>
      </c>
    </row>
    <row r="28" spans="1:16" ht="20" customHeight="1" x14ac:dyDescent="0.35"/>
    <row r="29" spans="1:16" ht="14" customHeight="1" x14ac:dyDescent="0.35"/>
    <row r="30" spans="1:16" ht="20" customHeight="1" x14ac:dyDescent="0.55000000000000004">
      <c r="A30" s="152" t="s">
        <v>56</v>
      </c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</row>
    <row r="31" spans="1:16" ht="21" x14ac:dyDescent="0.5">
      <c r="A31" s="12" t="s">
        <v>60</v>
      </c>
      <c r="B31" s="12"/>
      <c r="C31" s="12"/>
      <c r="D31" s="12"/>
    </row>
    <row r="32" spans="1:16" ht="18.5" x14ac:dyDescent="0.45">
      <c r="A32" s="19" t="s">
        <v>91</v>
      </c>
      <c r="B32" s="19" t="s">
        <v>61</v>
      </c>
      <c r="C32" s="19" t="s">
        <v>62</v>
      </c>
      <c r="D32" s="19" t="s">
        <v>63</v>
      </c>
      <c r="E32" s="19" t="s">
        <v>64</v>
      </c>
      <c r="F32" s="19" t="s">
        <v>82</v>
      </c>
      <c r="H32" s="19" t="s">
        <v>87</v>
      </c>
    </row>
    <row r="33" spans="1:8" x14ac:dyDescent="0.35">
      <c r="A33" s="23" t="s">
        <v>11</v>
      </c>
      <c r="B33" s="29">
        <v>135936.41</v>
      </c>
      <c r="C33" s="29">
        <v>170754.05</v>
      </c>
      <c r="D33" s="29">
        <v>283649.02</v>
      </c>
      <c r="E33" s="29">
        <v>336367.43</v>
      </c>
      <c r="F33" s="29">
        <v>348615.15</v>
      </c>
      <c r="H33" s="25"/>
    </row>
    <row r="34" spans="1:8" x14ac:dyDescent="0.35">
      <c r="A34" s="24" t="s">
        <v>69</v>
      </c>
      <c r="B34" s="30"/>
      <c r="C34" s="35">
        <f>C33/B33-1</f>
        <v>0.25613181928226569</v>
      </c>
      <c r="D34" s="35">
        <f t="shared" ref="D34:F34" si="0">D33/C33-1</f>
        <v>0.66115544550773486</v>
      </c>
      <c r="E34" s="35">
        <f t="shared" si="0"/>
        <v>0.18585789578966283</v>
      </c>
      <c r="F34" s="35">
        <f t="shared" si="0"/>
        <v>3.6411729875273746E-2</v>
      </c>
      <c r="H34" s="25">
        <f>_xlfn.RRI(4,B33,F33)</f>
        <v>0.26547221777797958</v>
      </c>
    </row>
    <row r="35" spans="1:8" x14ac:dyDescent="0.35">
      <c r="A35" s="14"/>
      <c r="B35" s="31"/>
      <c r="C35" s="31"/>
      <c r="D35" s="31"/>
      <c r="E35" s="31"/>
      <c r="F35" s="31"/>
      <c r="H35" s="25"/>
    </row>
    <row r="36" spans="1:8" x14ac:dyDescent="0.35">
      <c r="A36" s="22" t="s">
        <v>88</v>
      </c>
      <c r="B36" s="26">
        <f>SUM('Data Sheet (2)'!G18,-'Data Sheet (2)'!G19,'Data Sheet (2)'!G20:G21)</f>
        <v>1772.27</v>
      </c>
      <c r="C36" s="26">
        <f>SUM('Data Sheet (2)'!H18,-'Data Sheet (2)'!H19,'Data Sheet (2)'!H20:H21)</f>
        <v>2176.5</v>
      </c>
      <c r="D36" s="26">
        <f>SUM('Data Sheet (2)'!I18,-'Data Sheet (2)'!I19,'Data Sheet (2)'!I20:I21)</f>
        <v>3255.75</v>
      </c>
      <c r="E36" s="26">
        <f>SUM('Data Sheet (2)'!J18,-'Data Sheet (2)'!J19,'Data Sheet (2)'!J20:J21)</f>
        <v>3943.56</v>
      </c>
      <c r="F36" s="26">
        <f>SUM('Data Sheet (2)'!K18,-'Data Sheet (2)'!K19,'Data Sheet (2)'!K20:K21)</f>
        <v>4691.2</v>
      </c>
      <c r="H36" s="25"/>
    </row>
    <row r="37" spans="1:8" x14ac:dyDescent="0.35">
      <c r="A37" s="17" t="s">
        <v>70</v>
      </c>
      <c r="B37" s="33">
        <f>B36/B33</f>
        <v>1.3037493045461477E-2</v>
      </c>
      <c r="C37" s="33">
        <f t="shared" ref="C37:F37" si="1">C36/C33</f>
        <v>1.2746403379597732E-2</v>
      </c>
      <c r="D37" s="33">
        <f t="shared" si="1"/>
        <v>1.1478093596092804E-2</v>
      </c>
      <c r="E37" s="33">
        <f t="shared" si="1"/>
        <v>1.1723965069983144E-2</v>
      </c>
      <c r="F37" s="33">
        <f t="shared" si="1"/>
        <v>1.3456672780858776E-2</v>
      </c>
      <c r="H37" s="25"/>
    </row>
    <row r="38" spans="1:8" x14ac:dyDescent="0.35">
      <c r="A38" s="27" t="s">
        <v>71</v>
      </c>
      <c r="B38" s="18">
        <f>B33-B36</f>
        <v>134164.14000000001</v>
      </c>
      <c r="C38" s="18">
        <f t="shared" ref="C38:F38" si="2">C33-C36</f>
        <v>168577.55</v>
      </c>
      <c r="D38" s="18">
        <f t="shared" si="2"/>
        <v>280393.27</v>
      </c>
      <c r="E38" s="18">
        <f t="shared" si="2"/>
        <v>332423.87</v>
      </c>
      <c r="F38" s="18">
        <f t="shared" si="2"/>
        <v>343923.95</v>
      </c>
      <c r="H38" s="25"/>
    </row>
    <row r="39" spans="1:8" x14ac:dyDescent="0.35">
      <c r="A39" s="28" t="s">
        <v>72</v>
      </c>
      <c r="B39" s="34">
        <f>B38/B33</f>
        <v>0.98696250695453858</v>
      </c>
      <c r="C39" s="34">
        <f t="shared" ref="C39:F39" si="3">C38/C33</f>
        <v>0.98725359662040224</v>
      </c>
      <c r="D39" s="34">
        <f>D38/D33</f>
        <v>0.98852190640390725</v>
      </c>
      <c r="E39" s="34">
        <f t="shared" si="3"/>
        <v>0.98827603493001681</v>
      </c>
      <c r="F39" s="34">
        <f t="shared" si="3"/>
        <v>0.98654332721914118</v>
      </c>
      <c r="H39" s="25"/>
    </row>
    <row r="40" spans="1:8" x14ac:dyDescent="0.35">
      <c r="A40" s="22" t="s">
        <v>85</v>
      </c>
      <c r="B40" s="20">
        <f>SUM('Data Sheet (2)'!G22:G24)</f>
        <v>54784.689999999995</v>
      </c>
      <c r="C40" s="20">
        <f>SUM('Data Sheet (2)'!H22:H24)</f>
        <v>60865.8</v>
      </c>
      <c r="D40" s="20">
        <f>SUM('Data Sheet (2)'!I22:I24)</f>
        <v>170939.78999999998</v>
      </c>
      <c r="E40" s="20">
        <f>SUM('Data Sheet (2)'!J22:J24)</f>
        <v>183030.89</v>
      </c>
      <c r="F40" s="20">
        <f>SUM('Data Sheet (2)'!K22:K24)</f>
        <v>198944.03000000003</v>
      </c>
      <c r="H40" s="25"/>
    </row>
    <row r="41" spans="1:8" x14ac:dyDescent="0.35">
      <c r="A41" s="17" t="s">
        <v>70</v>
      </c>
      <c r="B41" s="33">
        <f>B40/B33</f>
        <v>0.40301704304240488</v>
      </c>
      <c r="C41" s="33">
        <f t="shared" ref="C41:F41" si="4">C40/C33</f>
        <v>0.35645303874198009</v>
      </c>
      <c r="D41" s="33">
        <f t="shared" si="4"/>
        <v>0.60264544541701559</v>
      </c>
      <c r="E41" s="33">
        <f t="shared" si="4"/>
        <v>0.54413975217517352</v>
      </c>
      <c r="F41" s="33">
        <f t="shared" si="4"/>
        <v>0.57066949041084425</v>
      </c>
      <c r="H41" s="25"/>
    </row>
    <row r="42" spans="1:8" x14ac:dyDescent="0.35">
      <c r="A42" s="22"/>
      <c r="B42" s="16"/>
      <c r="C42" s="16"/>
      <c r="D42" s="16"/>
      <c r="E42" s="16"/>
      <c r="F42" s="16"/>
      <c r="H42" s="25"/>
    </row>
    <row r="43" spans="1:8" x14ac:dyDescent="0.35">
      <c r="A43" s="21" t="s">
        <v>73</v>
      </c>
      <c r="B43" s="15">
        <f>B38-B40</f>
        <v>79379.450000000012</v>
      </c>
      <c r="C43" s="15">
        <f t="shared" ref="C43:F43" si="5">C38-C40</f>
        <v>107711.74999999999</v>
      </c>
      <c r="D43" s="15">
        <f t="shared" si="5"/>
        <v>109453.48000000004</v>
      </c>
      <c r="E43" s="15">
        <f t="shared" si="5"/>
        <v>149392.97999999998</v>
      </c>
      <c r="F43" s="15">
        <f t="shared" si="5"/>
        <v>144979.91999999998</v>
      </c>
      <c r="H43" s="25"/>
    </row>
    <row r="44" spans="1:8" x14ac:dyDescent="0.35">
      <c r="A44" s="17" t="s">
        <v>74</v>
      </c>
      <c r="B44" s="33">
        <f>B43/B33</f>
        <v>0.58394546391213364</v>
      </c>
      <c r="C44" s="33">
        <f t="shared" ref="C44:F44" si="6">C43/C33</f>
        <v>0.63080055787842215</v>
      </c>
      <c r="D44" s="33">
        <f t="shared" si="6"/>
        <v>0.3858764609868916</v>
      </c>
      <c r="E44" s="33">
        <f t="shared" si="6"/>
        <v>0.44413628275484335</v>
      </c>
      <c r="F44" s="33">
        <f t="shared" si="6"/>
        <v>0.41587383680829698</v>
      </c>
      <c r="H44" s="25"/>
    </row>
    <row r="45" spans="1:8" x14ac:dyDescent="0.35">
      <c r="A45" s="14"/>
      <c r="B45" s="16"/>
      <c r="C45" s="16"/>
      <c r="D45" s="16"/>
      <c r="E45" s="16"/>
      <c r="F45" s="16"/>
      <c r="H45" s="25"/>
    </row>
    <row r="46" spans="1:8" x14ac:dyDescent="0.35">
      <c r="A46" s="22" t="s">
        <v>75</v>
      </c>
      <c r="B46" s="20">
        <f>'Data Sheet (2)'!G26</f>
        <v>1680.73</v>
      </c>
      <c r="C46" s="20">
        <f>'Data Sheet (2)'!H26</f>
        <v>2345.4699999999998</v>
      </c>
      <c r="D46" s="20">
        <f>'Data Sheet (2)'!I26</f>
        <v>3092.08</v>
      </c>
      <c r="E46" s="20">
        <f>'Data Sheet (2)'!J26</f>
        <v>3805.23</v>
      </c>
      <c r="F46" s="20">
        <f>'Data Sheet (2)'!K26</f>
        <v>4194.8999999999996</v>
      </c>
      <c r="H46" s="25"/>
    </row>
    <row r="47" spans="1:8" x14ac:dyDescent="0.35">
      <c r="A47" s="17" t="s">
        <v>124</v>
      </c>
      <c r="B47" s="32">
        <f>B46/B33</f>
        <v>1.2364089944702821E-2</v>
      </c>
      <c r="C47" s="32">
        <f t="shared" ref="C47:F47" si="7">C46/C33</f>
        <v>1.3735955311162458E-2</v>
      </c>
      <c r="D47" s="32">
        <f t="shared" si="7"/>
        <v>1.090107767691212E-2</v>
      </c>
      <c r="E47" s="32">
        <f t="shared" si="7"/>
        <v>1.1312718356827831E-2</v>
      </c>
      <c r="F47" s="32">
        <f t="shared" si="7"/>
        <v>1.2033039872191439E-2</v>
      </c>
      <c r="H47" s="25"/>
    </row>
    <row r="48" spans="1:8" x14ac:dyDescent="0.35">
      <c r="A48" s="21" t="s">
        <v>76</v>
      </c>
      <c r="B48" s="13">
        <f>B43-B46</f>
        <v>77698.720000000016</v>
      </c>
      <c r="C48" s="13">
        <f t="shared" ref="C48:F48" si="8">C43-C46</f>
        <v>105366.27999999998</v>
      </c>
      <c r="D48" s="13">
        <f t="shared" si="8"/>
        <v>106361.40000000004</v>
      </c>
      <c r="E48" s="13">
        <f t="shared" si="8"/>
        <v>145587.74999999997</v>
      </c>
      <c r="F48" s="13">
        <f t="shared" si="8"/>
        <v>140785.01999999999</v>
      </c>
      <c r="H48" s="25"/>
    </row>
    <row r="49" spans="1:8" x14ac:dyDescent="0.35">
      <c r="A49" s="17" t="s">
        <v>77</v>
      </c>
      <c r="B49" s="32">
        <f t="shared" ref="B49:F49" si="9">B48/B33</f>
        <v>0.57158137396743092</v>
      </c>
      <c r="C49" s="32">
        <f t="shared" si="9"/>
        <v>0.6170646025672597</v>
      </c>
      <c r="D49" s="32">
        <f t="shared" si="9"/>
        <v>0.37497538330997948</v>
      </c>
      <c r="E49" s="32">
        <f t="shared" si="9"/>
        <v>0.4328235643980155</v>
      </c>
      <c r="F49" s="32">
        <f t="shared" si="9"/>
        <v>0.40384079693610558</v>
      </c>
      <c r="H49" s="25"/>
    </row>
    <row r="50" spans="1:8" x14ac:dyDescent="0.35">
      <c r="A50" s="14"/>
      <c r="B50" s="14"/>
      <c r="C50" s="14"/>
      <c r="D50" s="14"/>
      <c r="E50" s="14"/>
      <c r="F50" s="14"/>
      <c r="H50" s="25"/>
    </row>
    <row r="51" spans="1:8" x14ac:dyDescent="0.35">
      <c r="A51" s="22" t="s">
        <v>19</v>
      </c>
      <c r="B51" s="14">
        <f>'Data Sheet (2)'!G25</f>
        <v>31758.99</v>
      </c>
      <c r="C51" s="14">
        <f>'Data Sheet (2)'!H25</f>
        <v>33912.050000000003</v>
      </c>
      <c r="D51" s="14">
        <f>'Data Sheet (2)'!I25</f>
        <v>124345.75</v>
      </c>
      <c r="E51" s="14">
        <f>'Data Sheet (2)'!J25</f>
        <v>134548.5</v>
      </c>
      <c r="F51" s="14">
        <f>'Data Sheet (2)'!K25</f>
        <v>146847.66</v>
      </c>
      <c r="H51" s="25"/>
    </row>
    <row r="52" spans="1:8" x14ac:dyDescent="0.35">
      <c r="A52" s="22" t="s">
        <v>86</v>
      </c>
      <c r="B52" s="14">
        <f>'Data Sheet (2)'!G27</f>
        <v>58584.33</v>
      </c>
      <c r="C52" s="14">
        <f>'Data Sheet (2)'!H27</f>
        <v>77779.94</v>
      </c>
      <c r="D52" s="14">
        <f>'Data Sheet (2)'!I27</f>
        <v>154138.54999999999</v>
      </c>
      <c r="E52" s="14">
        <f>'Data Sheet (2)'!J27</f>
        <v>183894.2</v>
      </c>
      <c r="F52" s="14">
        <f>'Data Sheet (2)'!K27</f>
        <v>185491.23</v>
      </c>
      <c r="H52" s="25"/>
    </row>
    <row r="53" spans="1:8" x14ac:dyDescent="0.35">
      <c r="A53" s="17" t="s">
        <v>83</v>
      </c>
      <c r="B53" s="32">
        <f>B52/'Data Sheet (2)'!G59</f>
        <v>3.2820913195084067E-2</v>
      </c>
      <c r="C53" s="32">
        <f>C52/'Data Sheet (2)'!H59</f>
        <v>3.6359156209073276E-2</v>
      </c>
      <c r="D53" s="32">
        <f>D52/'Data Sheet (2)'!I59</f>
        <v>4.9602064067689279E-2</v>
      </c>
      <c r="E53" s="32">
        <f>E52/'Data Sheet (2)'!J59</f>
        <v>5.4967565722089454E-2</v>
      </c>
      <c r="F53" s="32">
        <f>F52/'Data Sheet (2)'!K59</f>
        <v>5.0294211458531579E-2</v>
      </c>
      <c r="H53" s="25"/>
    </row>
    <row r="54" spans="1:8" x14ac:dyDescent="0.35">
      <c r="A54" s="21" t="s">
        <v>78</v>
      </c>
      <c r="B54" s="13">
        <f>B48+B51-B52</f>
        <v>50873.380000000019</v>
      </c>
      <c r="C54" s="13">
        <f t="shared" ref="C54:F54" si="10">C48+C51-C52</f>
        <v>61498.389999999985</v>
      </c>
      <c r="D54" s="13">
        <f t="shared" si="10"/>
        <v>76568.600000000035</v>
      </c>
      <c r="E54" s="13">
        <f t="shared" si="10"/>
        <v>96242.049999999988</v>
      </c>
      <c r="F54" s="13">
        <f t="shared" si="10"/>
        <v>102141.44999999998</v>
      </c>
      <c r="H54" s="25"/>
    </row>
    <row r="55" spans="1:8" x14ac:dyDescent="0.35">
      <c r="A55" s="17" t="s">
        <v>79</v>
      </c>
      <c r="B55" s="32">
        <f>B54/B33</f>
        <v>0.37424395715614395</v>
      </c>
      <c r="C55" s="32">
        <f t="shared" ref="C55:F55" si="11">C54/C33</f>
        <v>0.36015772393099893</v>
      </c>
      <c r="D55" s="32">
        <f t="shared" si="11"/>
        <v>0.26994135216825366</v>
      </c>
      <c r="E55" s="32">
        <f t="shared" si="11"/>
        <v>0.28612178652374276</v>
      </c>
      <c r="F55" s="32">
        <f t="shared" si="11"/>
        <v>0.29299199991738734</v>
      </c>
      <c r="H55" s="25"/>
    </row>
    <row r="56" spans="1:8" x14ac:dyDescent="0.35">
      <c r="A56" s="14"/>
      <c r="B56" s="14"/>
      <c r="C56" s="14"/>
      <c r="D56" s="14"/>
      <c r="E56" s="14"/>
      <c r="F56" s="14"/>
      <c r="H56" s="25"/>
    </row>
    <row r="57" spans="1:8" x14ac:dyDescent="0.35">
      <c r="A57" s="22" t="s">
        <v>80</v>
      </c>
      <c r="B57" s="14">
        <f>'Data Sheet (2)'!G29</f>
        <v>12722.48</v>
      </c>
      <c r="C57" s="14">
        <f>'Data Sheet (2)'!H29</f>
        <v>15349.69</v>
      </c>
      <c r="D57" s="14">
        <f>'Data Sheet (2)'!I29</f>
        <v>11122.1</v>
      </c>
      <c r="E57" s="14">
        <f>'Data Sheet (2)'!J29</f>
        <v>22801.88</v>
      </c>
      <c r="F57" s="14">
        <f>'Data Sheet (2)'!K29</f>
        <v>22921.99</v>
      </c>
      <c r="H57" s="25"/>
    </row>
    <row r="58" spans="1:8" x14ac:dyDescent="0.35">
      <c r="A58" s="17" t="s">
        <v>89</v>
      </c>
      <c r="B58" s="32">
        <f>B57/B54</f>
        <v>0.25008128022946369</v>
      </c>
      <c r="C58" s="32">
        <f t="shared" ref="C58:F58" si="12">C57/C54</f>
        <v>0.24959498939728347</v>
      </c>
      <c r="D58" s="32">
        <f t="shared" si="12"/>
        <v>0.14525667179496549</v>
      </c>
      <c r="E58" s="32">
        <f t="shared" si="12"/>
        <v>0.23692221851051598</v>
      </c>
      <c r="F58" s="32">
        <f t="shared" si="12"/>
        <v>0.22441418248908748</v>
      </c>
      <c r="H58" s="25"/>
    </row>
    <row r="59" spans="1:8" x14ac:dyDescent="0.35">
      <c r="A59" s="21" t="s">
        <v>24</v>
      </c>
      <c r="B59" s="119">
        <f>B54-B57</f>
        <v>38150.900000000023</v>
      </c>
      <c r="C59" s="119">
        <f t="shared" ref="C59:F59" si="13">C54-C57</f>
        <v>46148.699999999983</v>
      </c>
      <c r="D59" s="119">
        <f t="shared" si="13"/>
        <v>65446.500000000036</v>
      </c>
      <c r="E59" s="119">
        <f t="shared" si="13"/>
        <v>73440.169999999984</v>
      </c>
      <c r="F59" s="119">
        <f t="shared" si="13"/>
        <v>79219.459999999977</v>
      </c>
      <c r="H59" s="25"/>
    </row>
    <row r="60" spans="1:8" x14ac:dyDescent="0.35">
      <c r="A60" s="37" t="s">
        <v>81</v>
      </c>
      <c r="B60" s="38">
        <f>B59/B33</f>
        <v>0.28065254923239491</v>
      </c>
      <c r="C60" s="38">
        <f t="shared" ref="C60:F60" si="14">C59/C33</f>
        <v>0.27026416064509151</v>
      </c>
      <c r="D60" s="38">
        <f t="shared" si="14"/>
        <v>0.23073056977246045</v>
      </c>
      <c r="E60" s="38">
        <f t="shared" si="14"/>
        <v>0.21833317809634536</v>
      </c>
      <c r="F60" s="38">
        <f t="shared" si="14"/>
        <v>0.22724043978008407</v>
      </c>
      <c r="H60" s="25"/>
    </row>
    <row r="61" spans="1:8" x14ac:dyDescent="0.35">
      <c r="A61" s="36"/>
      <c r="B61" s="36"/>
      <c r="C61" s="36"/>
      <c r="D61" s="36"/>
      <c r="E61" s="36"/>
      <c r="F61" s="36"/>
    </row>
    <row r="62" spans="1:8" x14ac:dyDescent="0.35">
      <c r="A62" s="36"/>
      <c r="B62" s="36"/>
      <c r="C62" s="36"/>
      <c r="D62" s="36"/>
      <c r="E62" s="36"/>
      <c r="F62" s="36"/>
    </row>
    <row r="63" spans="1:8" ht="21" x14ac:dyDescent="0.5">
      <c r="A63" s="39" t="s">
        <v>90</v>
      </c>
      <c r="B63" s="36"/>
      <c r="C63" s="36"/>
      <c r="D63" s="36"/>
      <c r="E63" s="36"/>
      <c r="F63" s="36"/>
    </row>
    <row r="64" spans="1:8" ht="18.5" x14ac:dyDescent="0.45">
      <c r="A64" s="40" t="s">
        <v>91</v>
      </c>
      <c r="B64" s="40" t="s">
        <v>61</v>
      </c>
      <c r="C64" s="40" t="s">
        <v>62</v>
      </c>
      <c r="D64" s="40" t="s">
        <v>63</v>
      </c>
      <c r="E64" s="40" t="s">
        <v>64</v>
      </c>
      <c r="F64" s="40" t="s">
        <v>82</v>
      </c>
    </row>
    <row r="65" spans="1:16" x14ac:dyDescent="0.35">
      <c r="A65" s="36" t="s">
        <v>30</v>
      </c>
      <c r="B65" s="36">
        <f>'Data Sheet (2)'!G57</f>
        <v>554.54999999999995</v>
      </c>
      <c r="C65" s="36">
        <f>'Data Sheet (2)'!H57</f>
        <v>557.97</v>
      </c>
      <c r="D65" s="36">
        <f>'Data Sheet (2)'!I57</f>
        <v>759.69</v>
      </c>
      <c r="E65" s="36">
        <f>'Data Sheet (2)'!J57</f>
        <v>765.22</v>
      </c>
      <c r="F65" s="36">
        <f>'Data Sheet (2)'!K57</f>
        <v>1539.34</v>
      </c>
    </row>
    <row r="66" spans="1:16" x14ac:dyDescent="0.35">
      <c r="A66" s="36" t="s">
        <v>31</v>
      </c>
      <c r="B66" s="36">
        <f>'Data Sheet (2)'!G58</f>
        <v>246771.62</v>
      </c>
      <c r="C66" s="36">
        <f>'Data Sheet (2)'!H58</f>
        <v>288879.53000000003</v>
      </c>
      <c r="D66" s="36">
        <f>'Data Sheet (2)'!I58</f>
        <v>455635.56</v>
      </c>
      <c r="E66" s="36">
        <f>'Data Sheet (2)'!J58</f>
        <v>521024.17</v>
      </c>
      <c r="F66" s="36">
        <f>'Data Sheet (2)'!K58</f>
        <v>584520.13</v>
      </c>
    </row>
    <row r="67" spans="1:16" x14ac:dyDescent="0.35">
      <c r="A67" s="36" t="s">
        <v>32</v>
      </c>
      <c r="B67" s="36">
        <f>'Data Sheet (2)'!G59</f>
        <v>1784969.53</v>
      </c>
      <c r="C67" s="36">
        <f>'Data Sheet (2)'!H59</f>
        <v>2139211.91</v>
      </c>
      <c r="D67" s="36">
        <f>'Data Sheet (2)'!I59</f>
        <v>3107502.74</v>
      </c>
      <c r="E67" s="36">
        <f>'Data Sheet (2)'!J59</f>
        <v>3345503.8</v>
      </c>
      <c r="F67" s="36">
        <f>'Data Sheet (2)'!K59</f>
        <v>3688122.84</v>
      </c>
    </row>
    <row r="68" spans="1:16" x14ac:dyDescent="0.35">
      <c r="A68" s="36" t="s">
        <v>92</v>
      </c>
      <c r="B68" s="36">
        <f>'Data Sheet (2)'!G60</f>
        <v>90638.6</v>
      </c>
      <c r="C68" s="36">
        <f>'Data Sheet (2)'!H60</f>
        <v>101783.03</v>
      </c>
      <c r="D68" s="36">
        <f>'Data Sheet (2)'!I60</f>
        <v>466296.27</v>
      </c>
      <c r="E68" s="36">
        <f>'Data Sheet (2)'!J60</f>
        <v>524816.64000000001</v>
      </c>
      <c r="F68" s="36">
        <f>'Data Sheet (2)'!K60</f>
        <v>633519.03</v>
      </c>
    </row>
    <row r="69" spans="1:16" x14ac:dyDescent="0.35">
      <c r="A69" s="41" t="s">
        <v>34</v>
      </c>
      <c r="B69" s="121">
        <f>SUM(B65:B68)</f>
        <v>2122934.2999999998</v>
      </c>
      <c r="C69" s="121">
        <f t="shared" ref="C69:F69" si="15">SUM(C65:C68)</f>
        <v>2530432.44</v>
      </c>
      <c r="D69" s="121">
        <f t="shared" si="15"/>
        <v>4030194.2600000002</v>
      </c>
      <c r="E69" s="121">
        <f t="shared" si="15"/>
        <v>4392109.83</v>
      </c>
      <c r="F69" s="121">
        <f t="shared" si="15"/>
        <v>4907701.34</v>
      </c>
    </row>
    <row r="70" spans="1:16" x14ac:dyDescent="0.35">
      <c r="A70" s="36" t="s">
        <v>93</v>
      </c>
      <c r="B70" s="36">
        <f>'Data Sheet (2)'!G62</f>
        <v>6432.07</v>
      </c>
      <c r="C70" s="36">
        <f>'Data Sheet (2)'!H62</f>
        <v>8431.35</v>
      </c>
      <c r="D70" s="36">
        <f>'Data Sheet (2)'!I62</f>
        <v>12603.76</v>
      </c>
      <c r="E70" s="36">
        <f>'Data Sheet (2)'!J62</f>
        <v>15257.94</v>
      </c>
      <c r="F70" s="36">
        <f>'Data Sheet (2)'!K62</f>
        <v>16491.59</v>
      </c>
    </row>
    <row r="71" spans="1:16" x14ac:dyDescent="0.35">
      <c r="A71" s="36" t="s">
        <v>94</v>
      </c>
      <c r="B71" s="36">
        <f>'Data Sheet (2)'!G63</f>
        <v>0</v>
      </c>
      <c r="C71" s="36">
        <f>'Data Sheet (2)'!H63</f>
        <v>0</v>
      </c>
      <c r="D71" s="36">
        <f>'Data Sheet (2)'!I63</f>
        <v>0</v>
      </c>
      <c r="E71" s="36">
        <f>'Data Sheet (2)'!J63</f>
        <v>0</v>
      </c>
      <c r="F71" s="36">
        <f>'Data Sheet (2)'!K63</f>
        <v>0</v>
      </c>
    </row>
    <row r="72" spans="1:16" x14ac:dyDescent="0.35">
      <c r="A72" s="36" t="s">
        <v>95</v>
      </c>
      <c r="B72" s="36">
        <f>'Data Sheet (2)'!G64</f>
        <v>449263.86</v>
      </c>
      <c r="C72" s="36">
        <f>'Data Sheet (2)'!H64</f>
        <v>511581.71</v>
      </c>
      <c r="D72" s="36">
        <f>'Data Sheet (2)'!I64</f>
        <v>1005681.63</v>
      </c>
      <c r="E72" s="36">
        <f>'Data Sheet (2)'!J64</f>
        <v>1186472.8899999999</v>
      </c>
      <c r="F72" s="36">
        <f>'Data Sheet (2)'!K64</f>
        <v>1280216.29</v>
      </c>
    </row>
    <row r="73" spans="1:16" x14ac:dyDescent="0.35">
      <c r="A73" s="36" t="s">
        <v>39</v>
      </c>
      <c r="B73" s="36">
        <f>'Data Sheet (2)'!G67</f>
        <v>0</v>
      </c>
      <c r="C73" s="36">
        <f>'Data Sheet (2)'!H67</f>
        <v>0</v>
      </c>
      <c r="D73" s="36">
        <f>'Data Sheet (2)'!I67</f>
        <v>0</v>
      </c>
      <c r="E73" s="36">
        <f>'Data Sheet (2)'!J67</f>
        <v>0</v>
      </c>
      <c r="F73" s="36">
        <f>'Data Sheet (2)'!K67</f>
        <v>0</v>
      </c>
    </row>
    <row r="74" spans="1:16" x14ac:dyDescent="0.35">
      <c r="A74" s="36" t="s">
        <v>40</v>
      </c>
      <c r="B74" s="36">
        <f>'Data Sheet (2)'!G68</f>
        <v>0</v>
      </c>
      <c r="C74" s="36">
        <f>'Data Sheet (2)'!H68</f>
        <v>0</v>
      </c>
      <c r="D74" s="36">
        <f>'Data Sheet (2)'!I68</f>
        <v>0</v>
      </c>
      <c r="E74" s="36">
        <f>'Data Sheet (2)'!J68</f>
        <v>0</v>
      </c>
      <c r="F74" s="36">
        <f>'Data Sheet (2)'!K68</f>
        <v>0</v>
      </c>
    </row>
    <row r="75" spans="1:16" x14ac:dyDescent="0.35">
      <c r="A75" s="42" t="s">
        <v>96</v>
      </c>
      <c r="B75">
        <f>'Data Sheet (2)'!G69</f>
        <v>130030.71</v>
      </c>
      <c r="C75">
        <f>'Data Sheet (2)'!H69</f>
        <v>117189.28</v>
      </c>
      <c r="D75">
        <f>'Data Sheet (2)'!I69</f>
        <v>178718.67</v>
      </c>
      <c r="E75">
        <f>'Data Sheet (2)'!J69</f>
        <v>144390.25</v>
      </c>
      <c r="F75">
        <f>'Data Sheet (2)'!K69</f>
        <v>200707.11</v>
      </c>
    </row>
    <row r="76" spans="1:16" x14ac:dyDescent="0.35">
      <c r="A76" s="42" t="s">
        <v>97</v>
      </c>
      <c r="B76">
        <f>'Data Sheet (2)'!G65-SUM('Data Sheet (2)'!G67,'Data Sheet (2)'!G68,'Data Sheet (2)'!G69)</f>
        <v>1537207.6600000001</v>
      </c>
      <c r="C76">
        <f>'Data Sheet (2)'!H65-SUM('Data Sheet (2)'!H67,'Data Sheet (2)'!H68,'Data Sheet (2)'!H69)</f>
        <v>1893230.0999999999</v>
      </c>
      <c r="D76">
        <f>'Data Sheet (2)'!I65-SUM('Data Sheet (2)'!I67,'Data Sheet (2)'!I68,'Data Sheet (2)'!I69)</f>
        <v>2833190.2</v>
      </c>
      <c r="E76">
        <f>'Data Sheet (2)'!J65-SUM('Data Sheet (2)'!J67,'Data Sheet (2)'!J68,'Data Sheet (2)'!J69)</f>
        <v>3045988.75</v>
      </c>
      <c r="F76">
        <f>'Data Sheet (2)'!K65-SUM('Data Sheet (2)'!K67,'Data Sheet (2)'!K68,'Data Sheet (2)'!K69)</f>
        <v>3410286.35</v>
      </c>
    </row>
    <row r="77" spans="1:16" x14ac:dyDescent="0.35">
      <c r="A77" s="8" t="s">
        <v>34</v>
      </c>
      <c r="B77" s="120">
        <f>SUM(B70:B76)</f>
        <v>2122934.3000000003</v>
      </c>
      <c r="C77" s="120">
        <f t="shared" ref="C77:F77" si="16">SUM(C70:C76)</f>
        <v>2530432.44</v>
      </c>
      <c r="D77" s="120">
        <f t="shared" si="16"/>
        <v>4030194.2600000002</v>
      </c>
      <c r="E77" s="120">
        <f t="shared" si="16"/>
        <v>4392109.83</v>
      </c>
      <c r="F77" s="120">
        <f t="shared" si="16"/>
        <v>4907701.34</v>
      </c>
    </row>
    <row r="80" spans="1:16" ht="23.5" x14ac:dyDescent="0.55000000000000004">
      <c r="A80" s="152" t="s">
        <v>57</v>
      </c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</row>
    <row r="81" spans="1:16" x14ac:dyDescent="0.35">
      <c r="A81" s="51" t="s">
        <v>98</v>
      </c>
      <c r="B81" s="51" t="s">
        <v>65</v>
      </c>
      <c r="C81" s="51" t="s">
        <v>66</v>
      </c>
      <c r="D81" s="51" t="s">
        <v>67</v>
      </c>
      <c r="E81" s="51" t="s">
        <v>68</v>
      </c>
      <c r="F81" s="51" t="s">
        <v>99</v>
      </c>
    </row>
    <row r="82" spans="1:16" x14ac:dyDescent="0.35">
      <c r="A82" s="41" t="s">
        <v>111</v>
      </c>
      <c r="B82" s="50">
        <f t="array" ref="B82:F82">CHOOSE($C$84,$B$85:$F$85,B86:$F$86,$B$87:$F$87)</f>
        <v>0.12</v>
      </c>
      <c r="C82" s="50">
        <v>0.11</v>
      </c>
      <c r="D82" s="50">
        <v>0.1</v>
      </c>
      <c r="E82" s="50">
        <v>9.0000000000000011E-2</v>
      </c>
      <c r="F82" s="50">
        <v>8.0000000000000016E-2</v>
      </c>
    </row>
    <row r="83" spans="1:16" x14ac:dyDescent="0.35">
      <c r="A83" s="41" t="s">
        <v>112</v>
      </c>
      <c r="B83" s="36">
        <f>F33*(1+B82)</f>
        <v>390448.96800000005</v>
      </c>
      <c r="C83" s="36">
        <f>B83*(1+C82)</f>
        <v>433398.3544800001</v>
      </c>
      <c r="D83" s="36">
        <f t="shared" ref="D83:F83" si="17">C83*(1+D82)</f>
        <v>476738.18992800015</v>
      </c>
      <c r="E83" s="36">
        <f t="shared" si="17"/>
        <v>519644.62702152022</v>
      </c>
      <c r="F83" s="36">
        <f t="shared" si="17"/>
        <v>561216.19718324183</v>
      </c>
    </row>
    <row r="84" spans="1:16" x14ac:dyDescent="0.35">
      <c r="A84" s="41" t="s">
        <v>113</v>
      </c>
      <c r="B84" s="49" t="s">
        <v>114</v>
      </c>
      <c r="C84" s="48">
        <f>MATCH(B84,A85:A87,0)</f>
        <v>1</v>
      </c>
      <c r="D84" s="36"/>
      <c r="E84" s="36"/>
      <c r="F84" s="36"/>
    </row>
    <row r="85" spans="1:16" x14ac:dyDescent="0.35">
      <c r="A85" s="45" t="s">
        <v>114</v>
      </c>
      <c r="B85" s="47">
        <f>C19</f>
        <v>0.12</v>
      </c>
      <c r="C85" s="47">
        <f>B85-C20</f>
        <v>0.11</v>
      </c>
      <c r="D85" s="47">
        <f t="shared" ref="D85:F85" si="18">C85-1%</f>
        <v>0.1</v>
      </c>
      <c r="E85" s="47">
        <f t="shared" si="18"/>
        <v>9.0000000000000011E-2</v>
      </c>
      <c r="F85" s="47">
        <f t="shared" si="18"/>
        <v>8.0000000000000016E-2</v>
      </c>
    </row>
    <row r="86" spans="1:16" x14ac:dyDescent="0.35">
      <c r="A86" s="45" t="s">
        <v>115</v>
      </c>
      <c r="B86" s="47">
        <f>B85+3%</f>
        <v>0.15</v>
      </c>
      <c r="C86" s="47">
        <f>B86-C20</f>
        <v>0.13999999999999999</v>
      </c>
      <c r="D86" s="47">
        <f>C86-D20</f>
        <v>0.13999999999999999</v>
      </c>
      <c r="E86" s="47">
        <f>D86-E20</f>
        <v>0.13999999999999999</v>
      </c>
      <c r="F86" s="47">
        <f>E86-F20</f>
        <v>0.13999999999999999</v>
      </c>
    </row>
    <row r="87" spans="1:16" x14ac:dyDescent="0.35">
      <c r="A87" s="45" t="s">
        <v>116</v>
      </c>
      <c r="B87" s="47">
        <f>B85-3%</f>
        <v>0.09</v>
      </c>
      <c r="C87" s="47">
        <f>B87-C20</f>
        <v>0.08</v>
      </c>
      <c r="D87" s="47">
        <f t="shared" ref="D87:F87" si="19">D85-3%</f>
        <v>7.0000000000000007E-2</v>
      </c>
      <c r="E87" s="47">
        <f t="shared" si="19"/>
        <v>6.0000000000000012E-2</v>
      </c>
      <c r="F87" s="47">
        <f t="shared" si="19"/>
        <v>5.0000000000000017E-2</v>
      </c>
    </row>
    <row r="88" spans="1:16" x14ac:dyDescent="0.35">
      <c r="A88" s="45"/>
      <c r="B88" s="47"/>
      <c r="C88" s="47"/>
      <c r="D88" s="47"/>
      <c r="E88" s="47"/>
      <c r="F88" s="47"/>
    </row>
    <row r="89" spans="1:16" x14ac:dyDescent="0.35">
      <c r="A89" s="36"/>
      <c r="B89" s="36"/>
      <c r="C89" s="36"/>
      <c r="D89" s="36"/>
      <c r="E89" s="36"/>
      <c r="F89" s="36"/>
    </row>
    <row r="90" spans="1:16" ht="23.5" x14ac:dyDescent="0.55000000000000004">
      <c r="A90" s="152" t="s">
        <v>58</v>
      </c>
      <c r="B90" s="153"/>
      <c r="C90" s="153"/>
      <c r="D90" s="153"/>
      <c r="E90" s="153"/>
      <c r="F90" s="153"/>
      <c r="G90" s="153"/>
      <c r="H90" s="153"/>
      <c r="I90" s="153"/>
      <c r="J90" s="153"/>
      <c r="K90" s="153"/>
      <c r="L90" s="153"/>
      <c r="M90" s="153"/>
      <c r="N90" s="153"/>
      <c r="O90" s="153"/>
      <c r="P90" s="153"/>
    </row>
    <row r="91" spans="1:16" x14ac:dyDescent="0.35">
      <c r="A91" s="51" t="s">
        <v>98</v>
      </c>
      <c r="B91" s="51" t="s">
        <v>65</v>
      </c>
      <c r="C91" s="51" t="s">
        <v>66</v>
      </c>
      <c r="D91" s="51" t="s">
        <v>67</v>
      </c>
      <c r="E91" s="51" t="s">
        <v>68</v>
      </c>
      <c r="F91" s="51" t="s">
        <v>99</v>
      </c>
    </row>
    <row r="92" spans="1:16" x14ac:dyDescent="0.35">
      <c r="A92" t="s">
        <v>118</v>
      </c>
      <c r="B92">
        <f>B83</f>
        <v>390448.96800000005</v>
      </c>
      <c r="C92">
        <f t="shared" ref="C92:F92" si="20">C83</f>
        <v>433398.3544800001</v>
      </c>
      <c r="D92">
        <f t="shared" si="20"/>
        <v>476738.18992800015</v>
      </c>
      <c r="E92">
        <f t="shared" si="20"/>
        <v>519644.62702152022</v>
      </c>
      <c r="F92">
        <f t="shared" si="20"/>
        <v>561216.19718324183</v>
      </c>
    </row>
    <row r="93" spans="1:16" x14ac:dyDescent="0.35">
      <c r="A93" t="s">
        <v>74</v>
      </c>
      <c r="B93" s="52">
        <f>F44</f>
        <v>0.41587383680829698</v>
      </c>
      <c r="C93" s="52">
        <f>B93</f>
        <v>0.41587383680829698</v>
      </c>
      <c r="D93" s="52">
        <f t="shared" ref="D93:F93" si="21">C93</f>
        <v>0.41587383680829698</v>
      </c>
      <c r="E93" s="52">
        <f t="shared" si="21"/>
        <v>0.41587383680829698</v>
      </c>
      <c r="F93" s="52">
        <f t="shared" si="21"/>
        <v>0.41587383680829698</v>
      </c>
    </row>
    <row r="94" spans="1:16" x14ac:dyDescent="0.35">
      <c r="A94" t="s">
        <v>125</v>
      </c>
      <c r="B94" s="54">
        <f>B92*B93</f>
        <v>162377.5104</v>
      </c>
      <c r="C94" s="54">
        <f t="shared" ref="C94:F94" si="22">C92*C93</f>
        <v>180239.036544</v>
      </c>
      <c r="D94" s="54">
        <f t="shared" si="22"/>
        <v>198262.94019840003</v>
      </c>
      <c r="E94" s="54">
        <f t="shared" si="22"/>
        <v>216106.60481625606</v>
      </c>
      <c r="F94" s="54">
        <f t="shared" si="22"/>
        <v>233395.13320155654</v>
      </c>
    </row>
    <row r="95" spans="1:16" x14ac:dyDescent="0.35">
      <c r="A95" t="s">
        <v>119</v>
      </c>
      <c r="B95" s="54">
        <f>B92*AVERAGE(B47:F47)</f>
        <v>4712.4754943284306</v>
      </c>
      <c r="C95" s="54">
        <f>C92*AVERAGE(C47:G47)</f>
        <v>5198.9156892114688</v>
      </c>
      <c r="D95" s="54">
        <f>D92*AVERAGE(D47:H47)</f>
        <v>5442.2581868516581</v>
      </c>
      <c r="E95" s="54">
        <f>E92*AVERAGE(E47:I47)</f>
        <v>6065.748913726653</v>
      </c>
      <c r="F95" s="54">
        <f>F92*AVERAGE(F47:J47)</f>
        <v>6753.1368776256022</v>
      </c>
    </row>
    <row r="96" spans="1:16" x14ac:dyDescent="0.35">
      <c r="A96" t="s">
        <v>76</v>
      </c>
      <c r="B96" s="54">
        <f>B94-B95</f>
        <v>157665.03490567158</v>
      </c>
      <c r="C96" s="54">
        <f t="shared" ref="C96:F96" si="23">C94-C95</f>
        <v>175040.12085478855</v>
      </c>
      <c r="D96" s="54">
        <f t="shared" si="23"/>
        <v>192820.68201154837</v>
      </c>
      <c r="E96" s="54">
        <f t="shared" si="23"/>
        <v>210040.85590252941</v>
      </c>
      <c r="F96" s="54">
        <f t="shared" si="23"/>
        <v>226641.99632393094</v>
      </c>
    </row>
    <row r="97" spans="1:16" x14ac:dyDescent="0.35">
      <c r="A97" t="s">
        <v>245</v>
      </c>
      <c r="B97" s="54">
        <f>B96*(1-Tax_rate)</f>
        <v>118248.77617925368</v>
      </c>
      <c r="C97" s="54">
        <f>C96*(1-Tax_rate)</f>
        <v>131280.0906410914</v>
      </c>
      <c r="D97" s="54">
        <f>D96*(1-Tax_rate)</f>
        <v>144615.51150866126</v>
      </c>
      <c r="E97" s="54">
        <f>E96*(1-Tax_rate)</f>
        <v>157530.64192689705</v>
      </c>
      <c r="F97" s="54">
        <f>F96*(1-Tax_rate)</f>
        <v>169981.49724294821</v>
      </c>
    </row>
    <row r="98" spans="1:16" x14ac:dyDescent="0.35">
      <c r="A98" t="s">
        <v>121</v>
      </c>
      <c r="B98" s="54">
        <f t="shared" ref="B98:F98" si="24">B95</f>
        <v>4712.4754943284306</v>
      </c>
      <c r="C98" s="54">
        <f t="shared" si="24"/>
        <v>5198.9156892114688</v>
      </c>
      <c r="D98" s="54">
        <f t="shared" si="24"/>
        <v>5442.2581868516581</v>
      </c>
      <c r="E98" s="54">
        <f t="shared" si="24"/>
        <v>6065.748913726653</v>
      </c>
      <c r="F98" s="54">
        <f t="shared" si="24"/>
        <v>6753.1368776256022</v>
      </c>
    </row>
    <row r="99" spans="1:16" x14ac:dyDescent="0.35">
      <c r="A99" t="s">
        <v>122</v>
      </c>
      <c r="B99" s="54">
        <f t="shared" ref="B99:F99" si="25">B97*50%</f>
        <v>59124.388089626838</v>
      </c>
      <c r="C99" s="54">
        <f t="shared" si="25"/>
        <v>65640.045320545702</v>
      </c>
      <c r="D99" s="54">
        <f t="shared" si="25"/>
        <v>72307.755754330632</v>
      </c>
      <c r="E99" s="54">
        <f t="shared" si="25"/>
        <v>78765.320963448525</v>
      </c>
      <c r="F99" s="54">
        <f t="shared" si="25"/>
        <v>84990.748621474107</v>
      </c>
    </row>
    <row r="100" spans="1:16" x14ac:dyDescent="0.35">
      <c r="A100" s="58" t="s">
        <v>123</v>
      </c>
      <c r="B100" s="114">
        <f t="shared" ref="B100:F100" si="26">B97+B98-B99</f>
        <v>63836.863583955273</v>
      </c>
      <c r="C100" s="114">
        <f t="shared" si="26"/>
        <v>70838.961009757157</v>
      </c>
      <c r="D100" s="114">
        <f t="shared" si="26"/>
        <v>77750.013941182289</v>
      </c>
      <c r="E100" s="114">
        <f t="shared" si="26"/>
        <v>84831.069877175178</v>
      </c>
      <c r="F100" s="114">
        <f t="shared" si="26"/>
        <v>91743.885499099706</v>
      </c>
    </row>
    <row r="102" spans="1:16" ht="23.5" x14ac:dyDescent="0.55000000000000004">
      <c r="A102" s="10" t="s">
        <v>59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</row>
    <row r="103" spans="1:16" x14ac:dyDescent="0.35">
      <c r="A103" s="80" t="s">
        <v>126</v>
      </c>
      <c r="B103" s="81"/>
    </row>
    <row r="104" spans="1:16" x14ac:dyDescent="0.35">
      <c r="A104" s="81" t="s">
        <v>127</v>
      </c>
      <c r="B104" s="83">
        <f>'comparable companies Analysis'!E17</f>
        <v>0.74567351835887918</v>
      </c>
    </row>
    <row r="105" spans="1:16" x14ac:dyDescent="0.35">
      <c r="A105" s="81" t="s">
        <v>128</v>
      </c>
      <c r="B105" s="83">
        <f>1-B104</f>
        <v>0.25432648164112082</v>
      </c>
    </row>
    <row r="106" spans="1:16" x14ac:dyDescent="0.35">
      <c r="A106" s="81"/>
      <c r="B106" s="81"/>
    </row>
    <row r="107" spans="1:16" x14ac:dyDescent="0.35">
      <c r="A107" s="80" t="s">
        <v>129</v>
      </c>
      <c r="B107" s="81"/>
    </row>
    <row r="108" spans="1:16" x14ac:dyDescent="0.35">
      <c r="A108" s="81" t="s">
        <v>130</v>
      </c>
      <c r="B108" s="115">
        <f>'comparable companies Analysis'!E3</f>
        <v>1111989.24</v>
      </c>
    </row>
    <row r="109" spans="1:16" x14ac:dyDescent="0.35">
      <c r="A109" s="81" t="s">
        <v>131</v>
      </c>
      <c r="B109" s="115">
        <f>'comparable companies Analysis'!H3</f>
        <v>3733201.93</v>
      </c>
    </row>
    <row r="110" spans="1:16" x14ac:dyDescent="0.35">
      <c r="A110" s="81" t="s">
        <v>132</v>
      </c>
      <c r="B110" s="84">
        <f>B109/B108</f>
        <v>3.357228465627959</v>
      </c>
    </row>
    <row r="111" spans="1:16" x14ac:dyDescent="0.35">
      <c r="A111" s="81"/>
      <c r="B111" s="81"/>
    </row>
    <row r="112" spans="1:16" x14ac:dyDescent="0.35">
      <c r="A112" s="80" t="s">
        <v>133</v>
      </c>
      <c r="B112" s="81"/>
    </row>
    <row r="113" spans="1:16" x14ac:dyDescent="0.35">
      <c r="A113" s="81" t="s">
        <v>134</v>
      </c>
      <c r="B113" s="87">
        <v>6.7500000000000004E-2</v>
      </c>
    </row>
    <row r="114" spans="1:16" x14ac:dyDescent="0.35">
      <c r="A114" s="81" t="s">
        <v>135</v>
      </c>
      <c r="B114" s="85">
        <f>Tax_rate</f>
        <v>0.25</v>
      </c>
    </row>
    <row r="115" spans="1:16" x14ac:dyDescent="0.35">
      <c r="A115" s="81" t="s">
        <v>136</v>
      </c>
      <c r="B115" s="87">
        <f>B113*(1-B114)</f>
        <v>5.0625000000000003E-2</v>
      </c>
    </row>
    <row r="116" spans="1:16" x14ac:dyDescent="0.35">
      <c r="A116" s="81"/>
      <c r="B116" s="81"/>
    </row>
    <row r="117" spans="1:16" x14ac:dyDescent="0.35">
      <c r="A117" s="80" t="s">
        <v>137</v>
      </c>
      <c r="B117" s="81"/>
    </row>
    <row r="118" spans="1:16" x14ac:dyDescent="0.35">
      <c r="A118" s="81" t="s">
        <v>138</v>
      </c>
      <c r="B118" s="87">
        <f>C24</f>
        <v>7.2099999999999997E-2</v>
      </c>
    </row>
    <row r="119" spans="1:16" x14ac:dyDescent="0.35">
      <c r="A119" s="81" t="s">
        <v>139</v>
      </c>
      <c r="B119" s="83">
        <f>C25</f>
        <v>6.9989999999999997E-2</v>
      </c>
    </row>
    <row r="120" spans="1:16" x14ac:dyDescent="0.35">
      <c r="A120" s="81" t="s">
        <v>140</v>
      </c>
      <c r="B120" s="84">
        <f>'comparable companies Analysis'!H17*(1+'DCF model'!B110)*(1-Tax_rate)</f>
        <v>0.61079583610991417</v>
      </c>
    </row>
    <row r="121" spans="1:16" x14ac:dyDescent="0.35">
      <c r="A121" s="81" t="s">
        <v>137</v>
      </c>
      <c r="B121" s="86">
        <f>B118+B120*B119</f>
        <v>0.11484960056933288</v>
      </c>
    </row>
    <row r="122" spans="1:16" ht="16" x14ac:dyDescent="0.4">
      <c r="A122" s="82" t="s">
        <v>141</v>
      </c>
      <c r="B122" s="90">
        <f>(B121*B105)+(B115*B104)</f>
        <v>6.6959016697604762E-2</v>
      </c>
    </row>
    <row r="125" spans="1:16" ht="21" x14ac:dyDescent="0.5">
      <c r="A125" s="89" t="s">
        <v>170</v>
      </c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</row>
    <row r="126" spans="1:16" x14ac:dyDescent="0.35">
      <c r="A126" s="63" t="s">
        <v>171</v>
      </c>
      <c r="B126" s="123">
        <f>F100</f>
        <v>91743.885499099706</v>
      </c>
    </row>
    <row r="127" spans="1:16" x14ac:dyDescent="0.35">
      <c r="A127" s="63" t="s">
        <v>173</v>
      </c>
      <c r="B127" s="46">
        <v>0.06</v>
      </c>
    </row>
    <row r="128" spans="1:16" x14ac:dyDescent="0.35">
      <c r="A128" s="63"/>
    </row>
    <row r="129" spans="1:16" x14ac:dyDescent="0.35">
      <c r="A129" s="63" t="s">
        <v>174</v>
      </c>
    </row>
    <row r="130" spans="1:16" x14ac:dyDescent="0.35">
      <c r="A130" s="91" t="s">
        <v>175</v>
      </c>
      <c r="B130" s="122">
        <f>B126*(1+B127)/(B122-B127)</f>
        <v>13974462.607988544</v>
      </c>
    </row>
    <row r="133" spans="1:16" ht="21" x14ac:dyDescent="0.5">
      <c r="A133" s="92" t="s">
        <v>176</v>
      </c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</row>
    <row r="134" spans="1:16" x14ac:dyDescent="0.35">
      <c r="A134" s="93" t="s">
        <v>98</v>
      </c>
      <c r="B134" s="93" t="s">
        <v>65</v>
      </c>
      <c r="C134" s="93" t="s">
        <v>66</v>
      </c>
      <c r="D134" s="93" t="s">
        <v>67</v>
      </c>
      <c r="E134" s="93" t="s">
        <v>68</v>
      </c>
      <c r="F134" s="93" t="s">
        <v>99</v>
      </c>
      <c r="G134" s="94" t="s">
        <v>175</v>
      </c>
    </row>
    <row r="135" spans="1:16" x14ac:dyDescent="0.35">
      <c r="A135" t="s">
        <v>177</v>
      </c>
      <c r="B135" s="54">
        <f>B100</f>
        <v>63836.863583955273</v>
      </c>
      <c r="C135" s="54">
        <f>C100</f>
        <v>70838.961009757157</v>
      </c>
      <c r="D135" s="54">
        <f>D100</f>
        <v>77750.013941182289</v>
      </c>
      <c r="E135" s="54">
        <f>E100</f>
        <v>84831.069877175178</v>
      </c>
      <c r="F135" s="54">
        <f>F100</f>
        <v>91743.885499099706</v>
      </c>
      <c r="G135" s="54">
        <f>B130</f>
        <v>13974462.607988544</v>
      </c>
    </row>
    <row r="137" spans="1:16" x14ac:dyDescent="0.35">
      <c r="A137" t="s">
        <v>178</v>
      </c>
      <c r="B137" s="53">
        <f>1/(1+B122)^1</f>
        <v>0.93724312213523175</v>
      </c>
      <c r="C137" s="53">
        <f>1/(1+B122)^2</f>
        <v>0.87842466998979685</v>
      </c>
      <c r="D137" s="53">
        <f>1/(1+B122)^3</f>
        <v>0.8232974802618479</v>
      </c>
      <c r="E137" s="53">
        <f>1/(1+B122)^4</f>
        <v>0.77162990084668359</v>
      </c>
      <c r="F137" s="53">
        <f>1/(1+B122)^5</f>
        <v>0.72320481740244502</v>
      </c>
      <c r="G137" s="53">
        <f>1/(1+B122)^5</f>
        <v>0.72320481740244502</v>
      </c>
    </row>
    <row r="138" spans="1:16" x14ac:dyDescent="0.35">
      <c r="A138" t="s">
        <v>179</v>
      </c>
      <c r="B138" s="112">
        <f>B135*B137</f>
        <v>59830.66133274712</v>
      </c>
      <c r="C138" s="112">
        <f t="shared" ref="C138:F138" si="27">C135*C137</f>
        <v>62226.690947416013</v>
      </c>
      <c r="D138" s="112">
        <f t="shared" si="27"/>
        <v>64011.390568098926</v>
      </c>
      <c r="E138" s="112">
        <f t="shared" si="27"/>
        <v>65458.190038042769</v>
      </c>
      <c r="F138" s="112">
        <f t="shared" si="27"/>
        <v>66349.619960167227</v>
      </c>
      <c r="G138" s="112">
        <f>G135*G137</f>
        <v>10106398.67870765</v>
      </c>
    </row>
    <row r="141" spans="1:16" ht="21" x14ac:dyDescent="0.5">
      <c r="A141" s="92" t="s">
        <v>180</v>
      </c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</row>
    <row r="143" spans="1:16" ht="16" x14ac:dyDescent="0.4">
      <c r="A143" s="147" t="s">
        <v>181</v>
      </c>
      <c r="B143" s="150"/>
    </row>
    <row r="144" spans="1:16" x14ac:dyDescent="0.35">
      <c r="A144" s="149">
        <f>SUM(B138:F138)</f>
        <v>317876.55284647207</v>
      </c>
      <c r="B144" s="149"/>
    </row>
    <row r="145" spans="1:5" x14ac:dyDescent="0.35">
      <c r="E145" s="113"/>
    </row>
    <row r="146" spans="1:5" ht="21" x14ac:dyDescent="0.5">
      <c r="A146" s="147" t="s">
        <v>182</v>
      </c>
      <c r="B146" s="151"/>
    </row>
    <row r="147" spans="1:5" x14ac:dyDescent="0.35">
      <c r="A147" s="149">
        <f>G138</f>
        <v>10106398.67870765</v>
      </c>
      <c r="B147" s="149"/>
    </row>
    <row r="149" spans="1:5" ht="16" x14ac:dyDescent="0.4">
      <c r="A149" s="147" t="s">
        <v>183</v>
      </c>
      <c r="B149" s="148"/>
    </row>
    <row r="150" spans="1:5" x14ac:dyDescent="0.35">
      <c r="A150" s="149">
        <f>A144+A147</f>
        <v>10424275.231554123</v>
      </c>
      <c r="B150" s="149"/>
    </row>
    <row r="153" spans="1:5" ht="18.5" x14ac:dyDescent="0.45">
      <c r="A153" s="98" t="s">
        <v>183</v>
      </c>
      <c r="B153" s="117">
        <f>A150</f>
        <v>10424275.231554123</v>
      </c>
    </row>
    <row r="154" spans="1:5" ht="18.5" x14ac:dyDescent="0.45">
      <c r="A154" s="98" t="s">
        <v>184</v>
      </c>
      <c r="B154" s="117">
        <f>'DCF model'!B109</f>
        <v>3733201.93</v>
      </c>
    </row>
    <row r="155" spans="1:5" ht="18.5" x14ac:dyDescent="0.45">
      <c r="A155" s="98" t="s">
        <v>185</v>
      </c>
      <c r="B155" s="117">
        <f>'comparable companies Analysis'!M3</f>
        <v>150579.79</v>
      </c>
    </row>
    <row r="156" spans="1:5" ht="18.5" x14ac:dyDescent="0.45">
      <c r="A156" s="99" t="s">
        <v>160</v>
      </c>
      <c r="B156" s="116">
        <f>B153-B154+B155</f>
        <v>6841653.091554123</v>
      </c>
    </row>
    <row r="157" spans="1:5" ht="18.5" x14ac:dyDescent="0.45">
      <c r="A157" s="98" t="s">
        <v>187</v>
      </c>
      <c r="B157" s="117">
        <f>'Data Sheet (2)'!K95</f>
        <v>1539.34</v>
      </c>
    </row>
    <row r="158" spans="1:5" ht="18.5" x14ac:dyDescent="0.45">
      <c r="A158" s="99" t="s">
        <v>188</v>
      </c>
      <c r="B158" s="116">
        <f>B156/B157</f>
        <v>4444.536679066433</v>
      </c>
    </row>
    <row r="159" spans="1:5" ht="18.5" x14ac:dyDescent="0.45">
      <c r="A159" s="98" t="s">
        <v>189</v>
      </c>
      <c r="B159" s="118" t="s">
        <v>190</v>
      </c>
    </row>
    <row r="160" spans="1:5" ht="18.5" x14ac:dyDescent="0.45">
      <c r="A160" s="101" t="s">
        <v>191</v>
      </c>
      <c r="B160" s="47">
        <v>2.7686999999999999</v>
      </c>
    </row>
    <row r="161" spans="1:6" x14ac:dyDescent="0.35">
      <c r="A161" s="36"/>
      <c r="B161" s="100"/>
    </row>
    <row r="164" spans="1:6" ht="21" x14ac:dyDescent="0.5">
      <c r="A164" s="92" t="s">
        <v>192</v>
      </c>
      <c r="B164" s="95"/>
      <c r="C164" s="95"/>
      <c r="D164" s="95"/>
      <c r="E164" s="95"/>
      <c r="F164" s="95"/>
    </row>
    <row r="165" spans="1:6" x14ac:dyDescent="0.35">
      <c r="A165" s="73" t="s">
        <v>193</v>
      </c>
    </row>
    <row r="166" spans="1:6" x14ac:dyDescent="0.35">
      <c r="A166" s="48">
        <f>B158</f>
        <v>4444.536679066433</v>
      </c>
      <c r="B166" s="102">
        <f t="shared" ref="B166:C166" si="28">C166-0.05%</f>
        <v>6.5959016697604761E-2</v>
      </c>
      <c r="C166" s="102">
        <f t="shared" si="28"/>
        <v>6.6459016697604761E-2</v>
      </c>
      <c r="D166" s="102">
        <v>6.6959016697604762E-2</v>
      </c>
      <c r="E166" s="102">
        <f t="shared" ref="E166:F166" si="29">D166+0.05%</f>
        <v>6.7459016697604762E-2</v>
      </c>
      <c r="F166" s="102">
        <f t="shared" si="29"/>
        <v>6.7959016697604763E-2</v>
      </c>
    </row>
    <row r="167" spans="1:6" x14ac:dyDescent="0.35">
      <c r="A167" s="145">
        <f t="shared" ref="A167:A168" si="30">A168-0.2%</f>
        <v>5.5999999999999994E-2</v>
      </c>
      <c r="B167" s="104">
        <f t="dataTable" ref="B167:F171" dt2D="1" dtr="1" r1="B122" r2="B127"/>
        <v>2471.5661283016329</v>
      </c>
      <c r="C167" s="104">
        <v>2241.5136088013692</v>
      </c>
      <c r="D167" s="104">
        <v>2032.4542393367528</v>
      </c>
      <c r="E167" s="104">
        <v>1841.6399871790991</v>
      </c>
      <c r="F167" s="104">
        <v>1666.7823946364879</v>
      </c>
    </row>
    <row r="168" spans="1:6" x14ac:dyDescent="0.35">
      <c r="A168" s="145">
        <f t="shared" si="30"/>
        <v>5.7999999999999996E-2</v>
      </c>
      <c r="B168" s="104">
        <v>3636.3213434662407</v>
      </c>
      <c r="C168" s="104">
        <v>3283.075663718857</v>
      </c>
      <c r="D168" s="104">
        <v>2969.2602829378225</v>
      </c>
      <c r="E168" s="104">
        <v>2688.6223868617567</v>
      </c>
      <c r="F168" s="104">
        <v>2436.1648703999958</v>
      </c>
    </row>
    <row r="169" spans="1:6" x14ac:dyDescent="0.35">
      <c r="A169" s="103">
        <v>0.06</v>
      </c>
      <c r="B169" s="104">
        <v>5582.9204595769761</v>
      </c>
      <c r="C169" s="104">
        <v>4969.6659659258985</v>
      </c>
      <c r="D169" s="144">
        <v>4444.536679066433</v>
      </c>
      <c r="E169" s="104">
        <v>3989.8107142263534</v>
      </c>
      <c r="F169" s="104">
        <v>3592.2194716259623</v>
      </c>
    </row>
    <row r="170" spans="1:6" x14ac:dyDescent="0.35">
      <c r="A170" s="145">
        <f t="shared" ref="A170:A171" si="31">A169+0.2%</f>
        <v>6.2E-2</v>
      </c>
      <c r="B170" s="104">
        <v>9496.2696702639205</v>
      </c>
      <c r="C170" s="104">
        <v>8169.2268772028929</v>
      </c>
      <c r="D170" s="104">
        <v>7109.7880126387354</v>
      </c>
      <c r="E170" s="104">
        <v>6244.4222673784916</v>
      </c>
      <c r="F170" s="104">
        <v>5524.2776720300571</v>
      </c>
    </row>
    <row r="171" spans="1:6" x14ac:dyDescent="0.35">
      <c r="A171" s="145">
        <f t="shared" si="31"/>
        <v>6.4000000000000001E-2</v>
      </c>
      <c r="B171" s="104">
        <v>21400.054522406503</v>
      </c>
      <c r="C171" s="104">
        <v>16573.406227051008</v>
      </c>
      <c r="D171" s="104">
        <v>13377.927205180877</v>
      </c>
      <c r="E171" s="104">
        <v>11106.2621171889</v>
      </c>
      <c r="F171" s="104">
        <v>9408.3945253547226</v>
      </c>
    </row>
    <row r="172" spans="1:6" ht="16" x14ac:dyDescent="0.4">
      <c r="B172" s="105"/>
    </row>
    <row r="174" spans="1:6" ht="21" x14ac:dyDescent="0.5">
      <c r="A174" s="92" t="s">
        <v>194</v>
      </c>
      <c r="B174" s="95"/>
      <c r="C174" s="95"/>
      <c r="D174" s="95"/>
      <c r="E174" s="95"/>
      <c r="F174" s="95"/>
    </row>
    <row r="176" spans="1:6" ht="18.5" x14ac:dyDescent="0.45">
      <c r="A176" s="106"/>
    </row>
    <row r="177" spans="1:1" ht="17.5" x14ac:dyDescent="0.35">
      <c r="A177" s="107" t="s">
        <v>195</v>
      </c>
    </row>
    <row r="179" spans="1:1" x14ac:dyDescent="0.35">
      <c r="A179" s="8" t="s">
        <v>196</v>
      </c>
    </row>
    <row r="181" spans="1:1" x14ac:dyDescent="0.35">
      <c r="A181" s="8" t="s">
        <v>197</v>
      </c>
    </row>
    <row r="183" spans="1:1" x14ac:dyDescent="0.35">
      <c r="A183" s="8" t="s">
        <v>198</v>
      </c>
    </row>
    <row r="185" spans="1:1" x14ac:dyDescent="0.35">
      <c r="A185" s="8" t="s">
        <v>199</v>
      </c>
    </row>
    <row r="187" spans="1:1" ht="17.5" x14ac:dyDescent="0.35">
      <c r="A187" s="107" t="s">
        <v>200</v>
      </c>
    </row>
    <row r="189" spans="1:1" x14ac:dyDescent="0.35">
      <c r="A189" s="8" t="s">
        <v>201</v>
      </c>
    </row>
    <row r="191" spans="1:1" x14ac:dyDescent="0.35">
      <c r="A191" s="8" t="s">
        <v>202</v>
      </c>
    </row>
    <row r="193" spans="1:5" x14ac:dyDescent="0.35">
      <c r="A193" s="8" t="s">
        <v>203</v>
      </c>
    </row>
    <row r="195" spans="1:5" x14ac:dyDescent="0.35">
      <c r="A195" s="8" t="s">
        <v>204</v>
      </c>
    </row>
    <row r="197" spans="1:5" x14ac:dyDescent="0.35">
      <c r="A197" s="8" t="s">
        <v>205</v>
      </c>
    </row>
    <row r="199" spans="1:5" ht="23.5" x14ac:dyDescent="0.35">
      <c r="A199" s="108" t="s">
        <v>206</v>
      </c>
      <c r="B199" s="95"/>
      <c r="C199" s="95"/>
      <c r="D199" s="95"/>
      <c r="E199" s="95"/>
    </row>
    <row r="201" spans="1:5" x14ac:dyDescent="0.35">
      <c r="A201" t="s">
        <v>207</v>
      </c>
    </row>
    <row r="203" spans="1:5" ht="16" x14ac:dyDescent="0.4">
      <c r="A203" s="110" t="s">
        <v>208</v>
      </c>
    </row>
    <row r="205" spans="1:5" x14ac:dyDescent="0.35">
      <c r="A205" t="s">
        <v>211</v>
      </c>
    </row>
    <row r="206" spans="1:5" x14ac:dyDescent="0.35">
      <c r="A206" t="s">
        <v>212</v>
      </c>
    </row>
    <row r="207" spans="1:5" x14ac:dyDescent="0.35">
      <c r="A207" t="s">
        <v>213</v>
      </c>
    </row>
    <row r="208" spans="1:5" x14ac:dyDescent="0.35">
      <c r="A208" t="s">
        <v>214</v>
      </c>
    </row>
    <row r="209" spans="1:4" x14ac:dyDescent="0.35">
      <c r="A209" t="s">
        <v>215</v>
      </c>
    </row>
    <row r="211" spans="1:4" x14ac:dyDescent="0.35">
      <c r="A211" t="s">
        <v>209</v>
      </c>
    </row>
    <row r="213" spans="1:4" s="109" customFormat="1" ht="101.5" customHeight="1" x14ac:dyDescent="0.35">
      <c r="A213" s="146" t="s">
        <v>210</v>
      </c>
      <c r="B213" s="146"/>
      <c r="C213" s="146"/>
      <c r="D213" s="146"/>
    </row>
  </sheetData>
  <mergeCells count="17">
    <mergeCell ref="A90:P90"/>
    <mergeCell ref="A16:B16"/>
    <mergeCell ref="A1:F1"/>
    <mergeCell ref="A30:P30"/>
    <mergeCell ref="A15:P15"/>
    <mergeCell ref="A80:P80"/>
    <mergeCell ref="A3:P3"/>
    <mergeCell ref="A4:C4"/>
    <mergeCell ref="A12:H12"/>
    <mergeCell ref="A8:F8"/>
    <mergeCell ref="A213:D213"/>
    <mergeCell ref="A149:B149"/>
    <mergeCell ref="A150:B150"/>
    <mergeCell ref="A143:B143"/>
    <mergeCell ref="A144:B144"/>
    <mergeCell ref="A146:B146"/>
    <mergeCell ref="A147:B147"/>
  </mergeCells>
  <dataValidations count="1">
    <dataValidation type="list" allowBlank="1" showInputMessage="1" showErrorMessage="1" sqref="B84" xr:uid="{74D002B5-0065-4489-9A98-23DA1F8737D6}">
      <formula1>$A$85:$A$87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B3307-35C9-4A2B-ADE3-F1BB13A01E64}">
  <dimension ref="A1:N38"/>
  <sheetViews>
    <sheetView topLeftCell="A21" zoomScale="72" zoomScaleNormal="92" workbookViewId="0">
      <selection activeCell="E38" sqref="E38"/>
    </sheetView>
  </sheetViews>
  <sheetFormatPr defaultRowHeight="14.5" x14ac:dyDescent="0.35"/>
  <cols>
    <col min="1" max="1" width="32.36328125" customWidth="1"/>
    <col min="2" max="2" width="19.1796875" customWidth="1"/>
    <col min="3" max="3" width="17.6328125" customWidth="1"/>
    <col min="4" max="4" width="15.1796875" customWidth="1"/>
    <col min="5" max="5" width="17.6328125" customWidth="1"/>
    <col min="6" max="6" width="21.81640625" customWidth="1"/>
    <col min="7" max="7" width="17.36328125" customWidth="1"/>
    <col min="8" max="8" width="18.7265625" customWidth="1"/>
    <col min="9" max="9" width="16.453125" customWidth="1"/>
    <col min="10" max="11" width="12.6328125" customWidth="1"/>
    <col min="12" max="12" width="16.1796875" customWidth="1"/>
    <col min="13" max="13" width="20.36328125" customWidth="1"/>
    <col min="14" max="17" width="12.6328125" customWidth="1"/>
    <col min="18" max="18" width="29" customWidth="1"/>
    <col min="19" max="19" width="15.26953125" customWidth="1"/>
  </cols>
  <sheetData>
    <row r="1" spans="1:14" ht="22" x14ac:dyDescent="0.65">
      <c r="A1" s="163" t="s">
        <v>254</v>
      </c>
      <c r="B1" s="164"/>
    </row>
    <row r="2" spans="1:14" s="60" customFormat="1" ht="18.5" x14ac:dyDescent="0.35">
      <c r="A2" s="61" t="s">
        <v>142</v>
      </c>
      <c r="B2" s="61" t="s">
        <v>143</v>
      </c>
      <c r="C2" s="61" t="s">
        <v>147</v>
      </c>
      <c r="D2" s="61" t="s">
        <v>144</v>
      </c>
      <c r="E2" s="61" t="s">
        <v>148</v>
      </c>
      <c r="F2" s="61" t="s">
        <v>149</v>
      </c>
      <c r="G2" s="61" t="s">
        <v>150</v>
      </c>
      <c r="H2" s="61" t="s">
        <v>151</v>
      </c>
      <c r="I2" s="61" t="s">
        <v>145</v>
      </c>
      <c r="J2" s="61" t="s">
        <v>152</v>
      </c>
      <c r="K2" s="61" t="s">
        <v>153</v>
      </c>
      <c r="L2" s="62" t="s">
        <v>154</v>
      </c>
      <c r="M2" s="62" t="s">
        <v>186</v>
      </c>
      <c r="N2" s="62" t="s">
        <v>229</v>
      </c>
    </row>
    <row r="3" spans="1:14" s="66" customFormat="1" x14ac:dyDescent="0.35">
      <c r="A3" s="64">
        <v>1</v>
      </c>
      <c r="B3" s="64" t="s">
        <v>146</v>
      </c>
      <c r="C3" s="64">
        <v>721.2</v>
      </c>
      <c r="D3" s="64">
        <v>14.07</v>
      </c>
      <c r="E3" s="64">
        <v>1111989.24</v>
      </c>
      <c r="F3" s="64">
        <v>351818.61</v>
      </c>
      <c r="G3" s="64">
        <v>51.35</v>
      </c>
      <c r="H3" s="64">
        <v>3733201.93</v>
      </c>
      <c r="I3" s="64">
        <v>15.97</v>
      </c>
      <c r="J3" s="64">
        <v>4694611.38</v>
      </c>
      <c r="K3" s="64">
        <v>747.71</v>
      </c>
      <c r="L3" s="65">
        <v>0.92</v>
      </c>
      <c r="M3" s="96">
        <v>150579.79</v>
      </c>
      <c r="N3" s="125">
        <v>82511.72</v>
      </c>
    </row>
    <row r="4" spans="1:14" s="66" customFormat="1" x14ac:dyDescent="0.35">
      <c r="A4" s="67">
        <v>2</v>
      </c>
      <c r="B4" s="68" t="s">
        <v>155</v>
      </c>
      <c r="C4" s="69">
        <v>1310.5999999999999</v>
      </c>
      <c r="D4" s="69">
        <v>16.77</v>
      </c>
      <c r="E4" s="69">
        <v>940846.48</v>
      </c>
      <c r="F4" s="69">
        <v>198379.35</v>
      </c>
      <c r="G4" s="69">
        <v>78.36</v>
      </c>
      <c r="H4" s="69">
        <v>2096680.46</v>
      </c>
      <c r="I4" s="69">
        <v>17.649999999999999</v>
      </c>
      <c r="J4" s="69">
        <v>2963517.86</v>
      </c>
      <c r="K4" s="69">
        <v>1020.15</v>
      </c>
      <c r="L4" s="69">
        <v>0.99</v>
      </c>
      <c r="M4" s="97">
        <v>74009.08</v>
      </c>
      <c r="N4" s="126">
        <v>59756.14</v>
      </c>
    </row>
    <row r="5" spans="1:14" s="66" customFormat="1" x14ac:dyDescent="0.35">
      <c r="A5" s="70">
        <v>3</v>
      </c>
      <c r="B5" s="71" t="s">
        <v>156</v>
      </c>
      <c r="C5" s="72">
        <v>418.35</v>
      </c>
      <c r="D5" s="72">
        <v>20.78</v>
      </c>
      <c r="E5" s="72">
        <v>416169.61</v>
      </c>
      <c r="F5" s="72">
        <v>70887.47</v>
      </c>
      <c r="G5" s="72">
        <v>20.41</v>
      </c>
      <c r="H5" s="72">
        <v>662333.86</v>
      </c>
      <c r="I5" s="72">
        <v>18.059999999999999</v>
      </c>
      <c r="J5" s="72">
        <v>1027221.73</v>
      </c>
      <c r="K5" s="72">
        <v>305.85000000000002</v>
      </c>
      <c r="L5" s="72">
        <v>0.89</v>
      </c>
      <c r="M5" s="97">
        <v>51281.74</v>
      </c>
      <c r="N5" s="127">
        <v>20296.169999999998</v>
      </c>
    </row>
    <row r="6" spans="1:14" s="66" customFormat="1" x14ac:dyDescent="0.35">
      <c r="A6" s="67">
        <v>4</v>
      </c>
      <c r="B6" s="68" t="s">
        <v>157</v>
      </c>
      <c r="C6" s="69">
        <v>1217.0999999999999</v>
      </c>
      <c r="D6" s="69">
        <v>13.64</v>
      </c>
      <c r="E6" s="69">
        <v>378967.18</v>
      </c>
      <c r="F6" s="69">
        <v>135731.89000000001</v>
      </c>
      <c r="G6" s="69">
        <v>89.39</v>
      </c>
      <c r="H6" s="69">
        <v>1656431.05</v>
      </c>
      <c r="I6" s="69">
        <v>17.920000000000002</v>
      </c>
      <c r="J6" s="69">
        <v>1976741.38</v>
      </c>
      <c r="K6" s="69">
        <v>1112.6600000000001</v>
      </c>
      <c r="L6" s="69">
        <v>1.03</v>
      </c>
      <c r="M6" s="97">
        <v>58656.85</v>
      </c>
      <c r="N6" s="126">
        <v>27938.79</v>
      </c>
    </row>
    <row r="7" spans="1:14" s="66" customFormat="1" x14ac:dyDescent="0.35">
      <c r="A7" s="70">
        <v>5</v>
      </c>
      <c r="B7" s="71" t="s">
        <v>158</v>
      </c>
      <c r="C7" s="72">
        <v>86.57</v>
      </c>
      <c r="D7" s="72">
        <v>9.99</v>
      </c>
      <c r="E7" s="72">
        <v>93083.55</v>
      </c>
      <c r="F7" s="72">
        <v>29542.240000000002</v>
      </c>
      <c r="G7" s="72">
        <v>8.67</v>
      </c>
      <c r="H7" s="72">
        <v>374879.89</v>
      </c>
      <c r="I7" s="72">
        <v>15.75</v>
      </c>
      <c r="J7" s="72">
        <v>434732.97</v>
      </c>
      <c r="K7" s="72">
        <v>88.01</v>
      </c>
      <c r="L7" s="72">
        <v>0.9</v>
      </c>
      <c r="M7" s="97">
        <v>33230.47</v>
      </c>
      <c r="N7" s="127">
        <v>9343.31</v>
      </c>
    </row>
    <row r="9" spans="1:14" ht="22" x14ac:dyDescent="0.65">
      <c r="A9" s="163" t="s">
        <v>159</v>
      </c>
      <c r="B9" s="163"/>
    </row>
    <row r="10" spans="1:14" ht="18.5" x14ac:dyDescent="0.45">
      <c r="A10" s="61" t="s">
        <v>143</v>
      </c>
      <c r="B10" s="74" t="s">
        <v>160</v>
      </c>
      <c r="C10" s="74" t="s">
        <v>131</v>
      </c>
      <c r="D10" s="74" t="s">
        <v>132</v>
      </c>
      <c r="E10" s="74" t="s">
        <v>164</v>
      </c>
      <c r="F10" s="74" t="s">
        <v>161</v>
      </c>
      <c r="G10" s="74" t="s">
        <v>162</v>
      </c>
      <c r="H10" s="74" t="s">
        <v>163</v>
      </c>
    </row>
    <row r="11" spans="1:14" x14ac:dyDescent="0.35">
      <c r="A11" s="68" t="s">
        <v>155</v>
      </c>
      <c r="B11" s="36">
        <f>E4</f>
        <v>940846.48</v>
      </c>
      <c r="C11" s="36">
        <f>H4</f>
        <v>2096680.46</v>
      </c>
      <c r="D11" s="76">
        <f>C11/B11</f>
        <v>2.2285043357976959</v>
      </c>
      <c r="E11" s="75">
        <f>C11/(B11+C11)</f>
        <v>0.69025905001520749</v>
      </c>
      <c r="F11" s="50">
        <f>Tax_rate</f>
        <v>0.25</v>
      </c>
      <c r="G11" s="36">
        <f>L4</f>
        <v>0.99</v>
      </c>
      <c r="H11" s="76">
        <f>G11/(1+D11)*(1-Tax_rate)</f>
        <v>0.22998265536370849</v>
      </c>
    </row>
    <row r="12" spans="1:14" x14ac:dyDescent="0.35">
      <c r="A12" s="71" t="s">
        <v>156</v>
      </c>
      <c r="B12" s="36">
        <f>E5</f>
        <v>416169.61</v>
      </c>
      <c r="C12" s="36">
        <f>H5</f>
        <v>662333.86</v>
      </c>
      <c r="D12" s="76">
        <f t="shared" ref="D12:D14" si="0">C12/B12</f>
        <v>1.5914998214309786</v>
      </c>
      <c r="E12" s="75">
        <f t="shared" ref="E12:E14" si="1">C12/(B12+C12)</f>
        <v>0.61412306814367501</v>
      </c>
      <c r="F12" s="50">
        <f>Tax_rate</f>
        <v>0.25</v>
      </c>
      <c r="G12" s="36">
        <f>L5</f>
        <v>0.89</v>
      </c>
      <c r="H12" s="76">
        <f>G12/(1+D12)*(1-Tax_rate)</f>
        <v>0.25757285201409691</v>
      </c>
    </row>
    <row r="13" spans="1:14" x14ac:dyDescent="0.35">
      <c r="A13" s="68" t="s">
        <v>157</v>
      </c>
      <c r="B13" s="36">
        <f>E6</f>
        <v>378967.18</v>
      </c>
      <c r="C13" s="36">
        <f>H6</f>
        <v>1656431.05</v>
      </c>
      <c r="D13" s="76">
        <f t="shared" si="0"/>
        <v>4.370908979505824</v>
      </c>
      <c r="E13" s="75">
        <f t="shared" si="1"/>
        <v>0.81381177677451355</v>
      </c>
      <c r="F13" s="50">
        <f>Tax_rate</f>
        <v>0.25</v>
      </c>
      <c r="G13" s="36">
        <f>L6</f>
        <v>1.03</v>
      </c>
      <c r="H13" s="76">
        <f>G13/(1+D13)*(1-Tax_rate)</f>
        <v>0.14383040244168827</v>
      </c>
    </row>
    <row r="14" spans="1:14" x14ac:dyDescent="0.35">
      <c r="A14" s="71" t="s">
        <v>158</v>
      </c>
      <c r="B14" s="36">
        <f>E7</f>
        <v>93083.55</v>
      </c>
      <c r="C14" s="36">
        <f>H7</f>
        <v>374879.89</v>
      </c>
      <c r="D14" s="76">
        <f t="shared" si="0"/>
        <v>4.0273484412659384</v>
      </c>
      <c r="E14" s="75">
        <f t="shared" si="1"/>
        <v>0.80108798670255099</v>
      </c>
      <c r="F14" s="50">
        <f>Tax_rate</f>
        <v>0.25</v>
      </c>
      <c r="G14" s="36">
        <f>L7</f>
        <v>0.9</v>
      </c>
      <c r="H14" s="76">
        <f>G14/(1+D14)*(1-Tax_rate)</f>
        <v>0.13426560897577811</v>
      </c>
    </row>
    <row r="16" spans="1:14" x14ac:dyDescent="0.35">
      <c r="A16" s="77" t="s">
        <v>165</v>
      </c>
      <c r="B16" s="77"/>
      <c r="C16" s="77"/>
      <c r="D16" s="78">
        <f>AVERAGE(D11:D14)</f>
        <v>3.0545653945001092</v>
      </c>
      <c r="E16" s="79">
        <f t="shared" ref="E16:H16" si="2">AVERAGE(E11:E14)</f>
        <v>0.72982047040898679</v>
      </c>
      <c r="F16" s="79">
        <f t="shared" si="2"/>
        <v>0.25</v>
      </c>
      <c r="G16" s="78">
        <f t="shared" si="2"/>
        <v>0.95250000000000001</v>
      </c>
      <c r="H16" s="78">
        <f t="shared" si="2"/>
        <v>0.19141287969881793</v>
      </c>
    </row>
    <row r="17" spans="1:13" x14ac:dyDescent="0.35">
      <c r="A17" s="77" t="s">
        <v>166</v>
      </c>
      <c r="B17" s="77"/>
      <c r="C17" s="77"/>
      <c r="D17" s="78">
        <f>MEDIAN(D11:D14)</f>
        <v>3.1279263885318169</v>
      </c>
      <c r="E17" s="79">
        <f>MEDIAN(E11:E14)</f>
        <v>0.74567351835887918</v>
      </c>
      <c r="F17" s="79">
        <f t="shared" ref="F17:G17" si="3">MEDIAN(F11:J14)</f>
        <v>0.25</v>
      </c>
      <c r="G17" s="78">
        <f t="shared" si="3"/>
        <v>0.57378642600704843</v>
      </c>
      <c r="H17" s="78">
        <f>MEDIAN(H11:H14)</f>
        <v>0.18690652890269838</v>
      </c>
    </row>
    <row r="20" spans="1:13" x14ac:dyDescent="0.35">
      <c r="G20" s="54"/>
    </row>
    <row r="21" spans="1:13" ht="24.5" x14ac:dyDescent="0.7">
      <c r="A21" s="111" t="s">
        <v>216</v>
      </c>
      <c r="B21" s="111"/>
      <c r="C21" s="111"/>
    </row>
    <row r="22" spans="1:13" s="106" customFormat="1" ht="18.5" x14ac:dyDescent="0.45">
      <c r="A22" s="74"/>
      <c r="B22" s="160" t="s">
        <v>219</v>
      </c>
      <c r="C22" s="161"/>
      <c r="D22" s="161"/>
      <c r="E22" s="161"/>
      <c r="F22" s="161"/>
      <c r="G22" s="161"/>
      <c r="H22" s="142"/>
      <c r="I22" s="142" t="s">
        <v>226</v>
      </c>
      <c r="J22" s="143"/>
      <c r="K22" s="162" t="s">
        <v>230</v>
      </c>
      <c r="L22" s="162"/>
      <c r="M22" s="162"/>
    </row>
    <row r="23" spans="1:13" s="110" customFormat="1" ht="16" x14ac:dyDescent="0.4">
      <c r="A23" s="137" t="s">
        <v>217</v>
      </c>
      <c r="B23" s="138" t="s">
        <v>218</v>
      </c>
      <c r="C23" s="137" t="s">
        <v>222</v>
      </c>
      <c r="D23" s="137" t="s">
        <v>223</v>
      </c>
      <c r="E23" s="137" t="s">
        <v>220</v>
      </c>
      <c r="F23" s="137" t="s">
        <v>221</v>
      </c>
      <c r="G23" s="137" t="s">
        <v>224</v>
      </c>
      <c r="H23" s="139" t="s">
        <v>225</v>
      </c>
      <c r="I23" s="139" t="s">
        <v>227</v>
      </c>
      <c r="J23" s="140" t="s">
        <v>228</v>
      </c>
      <c r="K23" s="141" t="s">
        <v>231</v>
      </c>
      <c r="L23" s="141" t="s">
        <v>232</v>
      </c>
      <c r="M23" s="141" t="s">
        <v>233</v>
      </c>
    </row>
    <row r="24" spans="1:13" x14ac:dyDescent="0.35">
      <c r="A24" s="68" t="s">
        <v>155</v>
      </c>
      <c r="B24" s="36">
        <f>C4</f>
        <v>1310.5999999999999</v>
      </c>
      <c r="C24" s="135">
        <f>D24/B24</f>
        <v>717.87462231039217</v>
      </c>
      <c r="D24" s="36">
        <f>E4</f>
        <v>940846.48</v>
      </c>
      <c r="E24" s="36">
        <f>H4</f>
        <v>2096680.46</v>
      </c>
      <c r="F24" s="36">
        <f>M4</f>
        <v>74009.08</v>
      </c>
      <c r="G24" s="36">
        <f>D24+E24-F24</f>
        <v>2963517.86</v>
      </c>
      <c r="H24" s="36">
        <f>F4</f>
        <v>198379.35</v>
      </c>
      <c r="I24" s="36">
        <f>J4/I4</f>
        <v>167904.69461756374</v>
      </c>
      <c r="J24" s="36">
        <f>N4</f>
        <v>59756.14</v>
      </c>
      <c r="K24" s="136">
        <f>G24/H24</f>
        <v>14.938640841398058</v>
      </c>
      <c r="L24" s="136">
        <f>G24/I24</f>
        <v>17.649999999999999</v>
      </c>
      <c r="M24" s="136">
        <f>D24/J24</f>
        <v>15.744766646573892</v>
      </c>
    </row>
    <row r="25" spans="1:13" x14ac:dyDescent="0.35">
      <c r="A25" s="71" t="s">
        <v>156</v>
      </c>
      <c r="B25" s="36">
        <f>C5</f>
        <v>418.35</v>
      </c>
      <c r="C25" s="135">
        <f t="shared" ref="C25:C27" si="4">D25/B25</f>
        <v>994.78811999521918</v>
      </c>
      <c r="D25" s="36">
        <f>E5</f>
        <v>416169.61</v>
      </c>
      <c r="E25" s="36">
        <f>H5</f>
        <v>662333.86</v>
      </c>
      <c r="F25" s="36">
        <f>M5</f>
        <v>51281.74</v>
      </c>
      <c r="G25" s="36">
        <f t="shared" ref="G25:G27" si="5">D25+E25-F25</f>
        <v>1027221.73</v>
      </c>
      <c r="H25" s="36">
        <f>F5</f>
        <v>70887.47</v>
      </c>
      <c r="I25" s="36">
        <f>J5/I5</f>
        <v>56878.279623477298</v>
      </c>
      <c r="J25" s="36">
        <f>N5</f>
        <v>20296.169999999998</v>
      </c>
      <c r="K25" s="136">
        <f t="shared" ref="K25:K27" si="6">G25/H25</f>
        <v>14.490878712415608</v>
      </c>
      <c r="L25" s="136">
        <f t="shared" ref="L25:L27" si="7">G25/I25</f>
        <v>18.059999999999999</v>
      </c>
      <c r="M25" s="136">
        <f t="shared" ref="M25:M27" si="8">D25/J25</f>
        <v>20.504834655996675</v>
      </c>
    </row>
    <row r="26" spans="1:13" x14ac:dyDescent="0.35">
      <c r="A26" s="68" t="s">
        <v>157</v>
      </c>
      <c r="B26" s="36">
        <f>C6</f>
        <v>1217.0999999999999</v>
      </c>
      <c r="C26" s="135">
        <f t="shared" si="4"/>
        <v>311.36897543340729</v>
      </c>
      <c r="D26" s="36">
        <f>E6</f>
        <v>378967.18</v>
      </c>
      <c r="E26" s="36">
        <f>H6</f>
        <v>1656431.05</v>
      </c>
      <c r="F26" s="36">
        <f>M6</f>
        <v>58656.85</v>
      </c>
      <c r="G26" s="36">
        <f t="shared" si="5"/>
        <v>1976741.38</v>
      </c>
      <c r="H26" s="36">
        <f>F6</f>
        <v>135731.89000000001</v>
      </c>
      <c r="I26" s="36">
        <f>J6/I6</f>
        <v>110309.22879464284</v>
      </c>
      <c r="J26" s="36">
        <f>N6</f>
        <v>27938.79</v>
      </c>
      <c r="K26" s="136">
        <f t="shared" si="6"/>
        <v>14.563573674543246</v>
      </c>
      <c r="L26" s="136">
        <f t="shared" si="7"/>
        <v>17.920000000000002</v>
      </c>
      <c r="M26" s="136">
        <f t="shared" si="8"/>
        <v>13.56419444077571</v>
      </c>
    </row>
    <row r="27" spans="1:13" x14ac:dyDescent="0.35">
      <c r="A27" s="71" t="s">
        <v>158</v>
      </c>
      <c r="B27" s="36">
        <f>C7</f>
        <v>86.57</v>
      </c>
      <c r="C27" s="135">
        <f t="shared" si="4"/>
        <v>1075.2402679912211</v>
      </c>
      <c r="D27" s="36">
        <f>E7</f>
        <v>93083.55</v>
      </c>
      <c r="E27" s="36">
        <f>H7</f>
        <v>374879.89</v>
      </c>
      <c r="F27" s="36">
        <f>M7</f>
        <v>33230.47</v>
      </c>
      <c r="G27" s="36">
        <f t="shared" si="5"/>
        <v>434732.97</v>
      </c>
      <c r="H27" s="36">
        <f>F7</f>
        <v>29542.240000000002</v>
      </c>
      <c r="I27" s="36">
        <f>J7/I7</f>
        <v>27602.093333333331</v>
      </c>
      <c r="J27" s="36">
        <f>N7</f>
        <v>9343.31</v>
      </c>
      <c r="K27" s="136">
        <f t="shared" si="6"/>
        <v>14.715640046252416</v>
      </c>
      <c r="L27" s="136">
        <f t="shared" si="7"/>
        <v>15.75</v>
      </c>
      <c r="M27" s="136">
        <f t="shared" si="8"/>
        <v>9.9625882048224881</v>
      </c>
    </row>
    <row r="29" spans="1:13" ht="17" x14ac:dyDescent="0.5">
      <c r="A29" s="128" t="s">
        <v>165</v>
      </c>
      <c r="B29" s="129"/>
      <c r="C29" s="129"/>
      <c r="D29" s="129"/>
      <c r="E29" s="129"/>
      <c r="F29" s="129"/>
      <c r="G29" s="129"/>
      <c r="H29" s="129"/>
      <c r="I29" s="129"/>
      <c r="J29" s="129"/>
      <c r="K29" s="130">
        <f t="shared" ref="K29:M29" si="9">AVERAGE(K24:K27)</f>
        <v>14.677183318652332</v>
      </c>
      <c r="L29" s="130">
        <f t="shared" si="9"/>
        <v>17.344999999999999</v>
      </c>
      <c r="M29" s="130">
        <f t="shared" si="9"/>
        <v>14.944095987042191</v>
      </c>
    </row>
    <row r="30" spans="1:13" ht="17" x14ac:dyDescent="0.5">
      <c r="A30" s="128" t="s">
        <v>166</v>
      </c>
      <c r="B30" s="129"/>
      <c r="C30" s="129"/>
      <c r="D30" s="129"/>
      <c r="E30" s="129"/>
      <c r="F30" s="129"/>
      <c r="G30" s="129"/>
      <c r="H30" s="129"/>
      <c r="I30" s="129"/>
      <c r="J30" s="129"/>
      <c r="K30" s="130">
        <f t="shared" ref="K30:M30" si="10">MEDIAN(K24:K27)</f>
        <v>14.63960686039783</v>
      </c>
      <c r="L30" s="130">
        <f t="shared" si="10"/>
        <v>17.785</v>
      </c>
      <c r="M30" s="130">
        <f t="shared" si="10"/>
        <v>14.654480543674801</v>
      </c>
    </row>
    <row r="32" spans="1:13" x14ac:dyDescent="0.35">
      <c r="A32" s="124" t="s">
        <v>234</v>
      </c>
      <c r="B32" s="124">
        <f>C3</f>
        <v>721.2</v>
      </c>
      <c r="C32" s="134">
        <f>D32/B32</f>
        <v>1541.8597337770382</v>
      </c>
      <c r="D32" s="124">
        <f>E3</f>
        <v>1111989.24</v>
      </c>
      <c r="E32" s="124">
        <f>H3</f>
        <v>3733201.93</v>
      </c>
      <c r="F32" s="124">
        <f>M3</f>
        <v>150579.79</v>
      </c>
      <c r="G32" s="124">
        <f>D32+E32-F32</f>
        <v>4694611.38</v>
      </c>
      <c r="H32" s="124">
        <f>F3</f>
        <v>351818.61</v>
      </c>
      <c r="I32" s="131">
        <f>J3/I3</f>
        <v>293964.39448966814</v>
      </c>
      <c r="J32" s="124">
        <f>N3</f>
        <v>82511.72</v>
      </c>
      <c r="K32" s="132">
        <f>G32/H32</f>
        <v>13.343840395481068</v>
      </c>
      <c r="L32" s="132">
        <f t="shared" ref="L32" si="11">G32/I32</f>
        <v>15.969999999999999</v>
      </c>
      <c r="M32" s="132">
        <f t="shared" ref="M32" si="12">D32/J32</f>
        <v>13.476742940275635</v>
      </c>
    </row>
    <row r="35" spans="1:7" ht="21" x14ac:dyDescent="0.5">
      <c r="A35" s="133" t="s">
        <v>235</v>
      </c>
      <c r="B35" s="133" t="s">
        <v>236</v>
      </c>
      <c r="C35" s="133" t="s">
        <v>237</v>
      </c>
      <c r="D35" s="133" t="s">
        <v>238</v>
      </c>
      <c r="E35" s="133" t="s">
        <v>239</v>
      </c>
      <c r="F35" s="133" t="s">
        <v>240</v>
      </c>
      <c r="G35" s="133" t="s">
        <v>241</v>
      </c>
    </row>
    <row r="36" spans="1:7" ht="18.5" x14ac:dyDescent="0.45">
      <c r="A36" s="98" t="s">
        <v>242</v>
      </c>
      <c r="B36" s="136" cm="1">
        <f t="array" ref="B36:B38">TRANSPOSE(K30:M30)</f>
        <v>14.63960686039783</v>
      </c>
      <c r="C36" s="76">
        <f>H32*B36</f>
        <v>5150486.136571628</v>
      </c>
      <c r="D36" s="36">
        <f>$E$32-F32</f>
        <v>3582622.14</v>
      </c>
      <c r="E36" s="76">
        <f>C36-D36</f>
        <v>1567863.9965716279</v>
      </c>
      <c r="F36" s="135">
        <f>$C$32</f>
        <v>1541.8597337770382</v>
      </c>
      <c r="G36" s="135">
        <f>E36/F36</f>
        <v>1016.8655178061418</v>
      </c>
    </row>
    <row r="37" spans="1:7" ht="18.5" x14ac:dyDescent="0.45">
      <c r="A37" s="98" t="s">
        <v>243</v>
      </c>
      <c r="B37" s="136">
        <v>17.785</v>
      </c>
      <c r="C37" s="76">
        <f>I32*B37</f>
        <v>5228156.7559987474</v>
      </c>
      <c r="D37" s="36">
        <f>$E$32-F32</f>
        <v>3582622.14</v>
      </c>
      <c r="E37" s="76">
        <f>C37-D37</f>
        <v>1645534.6159987473</v>
      </c>
      <c r="F37" s="135">
        <f>$C$32</f>
        <v>1541.8597337770382</v>
      </c>
      <c r="G37" s="135">
        <f t="shared" ref="G37:G38" si="13">E37/F37</f>
        <v>1067.2401515848271</v>
      </c>
    </row>
    <row r="38" spans="1:7" ht="18.5" x14ac:dyDescent="0.45">
      <c r="A38" s="98" t="s">
        <v>244</v>
      </c>
      <c r="B38" s="136">
        <v>14.654480543674801</v>
      </c>
      <c r="C38" s="76">
        <f>E38+D38</f>
        <v>4791788.5353651429</v>
      </c>
      <c r="D38" s="36">
        <f>$E$32-F32</f>
        <v>3582622.14</v>
      </c>
      <c r="E38" s="76">
        <f>B38*J32</f>
        <v>1209166.395365143</v>
      </c>
      <c r="F38" s="135">
        <f>$C$32</f>
        <v>1541.8597337770382</v>
      </c>
      <c r="G38" s="135">
        <f t="shared" si="13"/>
        <v>784.22593759750873</v>
      </c>
    </row>
  </sheetData>
  <mergeCells count="4">
    <mergeCell ref="B22:G22"/>
    <mergeCell ref="K22:M22"/>
    <mergeCell ref="A1:B1"/>
    <mergeCell ref="A9:B9"/>
  </mergeCells>
  <hyperlinks>
    <hyperlink ref="B3" r:id="rId1" display="https://www.screener.in/company/HDFCBANK/consolidated/" xr:uid="{9260B96D-559C-4E2C-9985-32506BA39FFF}"/>
    <hyperlink ref="B4" r:id="rId2" display="https://www.screener.in/company/ICICIBANK/consolidated/" xr:uid="{187C0D6F-E490-4703-8B8A-78DEDC6B405C}"/>
    <hyperlink ref="B5" r:id="rId3" display="https://www.screener.in/company/KOTAKBANK/consolidated/" xr:uid="{7C84C6C4-59C9-4E98-8728-9E8584C1172E}"/>
    <hyperlink ref="B6" r:id="rId4" display="https://www.screener.in/company/AXISBANK/consolidated/" xr:uid="{DFAAADF6-7415-43C4-993B-4210FCEF6C59}"/>
    <hyperlink ref="B7" r:id="rId5" display="https://www.screener.in/company/IDBI/consolidated/" xr:uid="{878173F6-FDDC-43F6-95F0-DB1903BA3D8A}"/>
    <hyperlink ref="A11" r:id="rId6" display="https://www.screener.in/company/ICICIBANK/consolidated/" xr:uid="{FACB5EED-0E3B-443D-A288-E243ABE98421}"/>
    <hyperlink ref="A12" r:id="rId7" display="https://www.screener.in/company/KOTAKBANK/consolidated/" xr:uid="{267D0284-518D-4B85-A51A-47E51D40B7A4}"/>
    <hyperlink ref="A13" r:id="rId8" display="https://www.screener.in/company/AXISBANK/consolidated/" xr:uid="{D3A451A2-6093-49D2-A70B-E2B103DB4828}"/>
    <hyperlink ref="A14" r:id="rId9" display="https://www.screener.in/company/IDBI/consolidated/" xr:uid="{21228DD5-213B-4AC6-A60F-55FD19E02A35}"/>
    <hyperlink ref="A24" r:id="rId10" display="https://www.screener.in/company/ICICIBANK/consolidated/" xr:uid="{1E6F991A-1913-4601-9686-B7CF3A72C8EA}"/>
    <hyperlink ref="A25" r:id="rId11" display="https://www.screener.in/company/KOTAKBANK/consolidated/" xr:uid="{35DFECB2-D7C9-4029-861A-524338F05E46}"/>
    <hyperlink ref="A26" r:id="rId12" display="https://www.screener.in/company/AXISBANK/consolidated/" xr:uid="{E7EAFE6F-7447-420F-B76A-21C3B7A5EFB3}"/>
    <hyperlink ref="A27" r:id="rId13" display="https://www.screener.in/company/IDBI/consolidated/" xr:uid="{615679F6-66CC-4CD9-8356-B0D712264B86}"/>
  </hyperlinks>
  <pageMargins left="0.7" right="0.7" top="0.75" bottom="0.75" header="0.3" footer="0.3"/>
  <pageSetup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Data Sheet (2)</vt:lpstr>
      <vt:lpstr>DCF model</vt:lpstr>
      <vt:lpstr>comparable companies Analysis</vt:lpstr>
      <vt:lpstr>Tax_rate</vt:lpstr>
      <vt:lpstr>'Data Sheet (2)'!UPDATE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Shivaraj Kotari</dc:creator>
  <cp:lastModifiedBy>Shivaraj Kotari</cp:lastModifiedBy>
  <cp:lastPrinted>2026-10-04T05:58:02Z</cp:lastPrinted>
  <dcterms:created xsi:type="dcterms:W3CDTF">2026-10-04T04:24:28Z</dcterms:created>
  <dcterms:modified xsi:type="dcterms:W3CDTF">2026-10-08T04:22:46Z</dcterms:modified>
</cp:coreProperties>
</file>